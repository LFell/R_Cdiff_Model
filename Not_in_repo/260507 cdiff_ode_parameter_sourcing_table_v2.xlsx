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d24ae3f3b31f6f2/C Diff/R_Cdiff_Model/"/>
    </mc:Choice>
  </mc:AlternateContent>
  <xr:revisionPtr revIDLastSave="7" documentId="8_{8ABF0A5F-0CE6-4133-996E-987327DBE1D6}" xr6:coauthVersionLast="47" xr6:coauthVersionMax="47" xr10:uidLastSave="{CB371F81-D258-4681-95AE-19EF428ED040}"/>
  <bookViews>
    <workbookView xWindow="28690" yWindow="-110" windowWidth="38620" windowHeight="21100" activeTab="3" xr2:uid="{00000000-000D-0000-FFFF-FFFF00000000}"/>
  </bookViews>
  <sheets>
    <sheet name="Baseline calculator" sheetId="1" r:id="rId1"/>
    <sheet name="Parameter table" sheetId="2" r:id="rId2"/>
    <sheet name="Summary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2" l="1"/>
  <c r="G59" i="2"/>
  <c r="G58" i="2"/>
  <c r="G57" i="2"/>
  <c r="G51" i="2"/>
  <c r="G50" i="2"/>
  <c r="G47" i="2"/>
  <c r="G42" i="2"/>
  <c r="G41" i="2"/>
  <c r="G40" i="2"/>
  <c r="G39" i="2"/>
  <c r="G38" i="2"/>
  <c r="G37" i="2"/>
  <c r="G35" i="2"/>
  <c r="G34" i="2"/>
  <c r="G32" i="2"/>
  <c r="G31" i="2"/>
  <c r="G30" i="2"/>
  <c r="G29" i="2"/>
  <c r="G25" i="2"/>
  <c r="G24" i="2"/>
  <c r="G23" i="2"/>
  <c r="G22" i="2"/>
  <c r="G21" i="2"/>
  <c r="G20" i="2"/>
  <c r="G19" i="2"/>
  <c r="G18" i="2"/>
  <c r="G14" i="2"/>
  <c r="G13" i="2"/>
  <c r="G11" i="2"/>
  <c r="G4" i="2"/>
  <c r="G3" i="2"/>
  <c r="G2" i="2"/>
  <c r="B66" i="1"/>
  <c r="B65" i="1"/>
  <c r="G56" i="2" s="1"/>
  <c r="B64" i="1"/>
  <c r="B63" i="1"/>
  <c r="G54" i="2" s="1"/>
  <c r="B62" i="1"/>
  <c r="G53" i="2" s="1"/>
  <c r="B61" i="1"/>
  <c r="G52" i="2" s="1"/>
  <c r="B55" i="1"/>
  <c r="B54" i="1"/>
  <c r="G49" i="2" s="1"/>
  <c r="B53" i="1"/>
  <c r="G46" i="2" s="1"/>
  <c r="B52" i="1"/>
  <c r="G45" i="2" s="1"/>
  <c r="B51" i="1"/>
  <c r="G44" i="2" s="1"/>
  <c r="B50" i="1"/>
  <c r="G43" i="2" s="1"/>
  <c r="B49" i="1"/>
  <c r="G48" i="2" s="1"/>
  <c r="B48" i="1"/>
  <c r="G36" i="2" s="1"/>
  <c r="B47" i="1"/>
  <c r="B46" i="1"/>
  <c r="G27" i="2" s="1"/>
  <c r="B45" i="1"/>
  <c r="G26" i="2" s="1"/>
  <c r="B41" i="1"/>
  <c r="B39" i="1"/>
  <c r="B40" i="1" s="1"/>
  <c r="B37" i="1"/>
  <c r="G6" i="2" l="1"/>
  <c r="G55" i="2"/>
  <c r="G60" i="2"/>
  <c r="B57" i="1"/>
  <c r="B56" i="1"/>
  <c r="G61" i="2" s="1"/>
  <c r="B60" i="1"/>
  <c r="G65" i="2" s="1"/>
  <c r="G33" i="2"/>
  <c r="B75" i="1"/>
  <c r="G71" i="2" s="1"/>
  <c r="G12" i="2"/>
  <c r="B44" i="1"/>
  <c r="G17" i="2" s="1"/>
  <c r="B43" i="1"/>
  <c r="G16" i="2" s="1"/>
  <c r="B42" i="1"/>
  <c r="G15" i="2" s="1"/>
  <c r="G66" i="2"/>
  <c r="B38" i="1"/>
  <c r="B58" i="1" l="1"/>
  <c r="G63" i="2" s="1"/>
  <c r="B59" i="1"/>
  <c r="G64" i="2" s="1"/>
  <c r="G62" i="2"/>
  <c r="G67" i="2"/>
  <c r="B67" i="1"/>
  <c r="B68" i="1"/>
  <c r="B70" i="1"/>
  <c r="G10" i="2" s="1"/>
  <c r="G7" i="2" l="1"/>
  <c r="B69" i="1"/>
  <c r="G8" i="2"/>
  <c r="G9" i="2" l="1"/>
  <c r="B73" i="1"/>
  <c r="B72" i="1"/>
  <c r="G5" i="2" s="1"/>
  <c r="B74" i="1" l="1"/>
  <c r="G70" i="2" s="1"/>
  <c r="G69" i="2"/>
</calcChain>
</file>

<file path=xl/sharedStrings.xml><?xml version="1.0" encoding="utf-8"?>
<sst xmlns="http://schemas.openxmlformats.org/spreadsheetml/2006/main" count="1369" uniqueCount="695">
  <si>
    <t>Parameter</t>
  </si>
  <si>
    <t>Suggested value</t>
  </si>
  <si>
    <t>Unit</t>
  </si>
  <si>
    <t>Type</t>
  </si>
  <si>
    <t>Calculated from / dependencies</t>
  </si>
  <si>
    <t>Notes</t>
  </si>
  <si>
    <t>N0</t>
  </si>
  <si>
    <t>patients / occupied beds</t>
  </si>
  <si>
    <t>Input assumption</t>
  </si>
  <si>
    <t>Chosen model scale</t>
  </si>
  <si>
    <t>1,000 occupied acute beds is a large hospital/trust-scale model.</t>
  </si>
  <si>
    <t>effective_mean_LOS</t>
  </si>
  <si>
    <t>days</t>
  </si>
  <si>
    <t>Patient turnover assumption</t>
  </si>
  <si>
    <t>Used to derive adm_rate = N0 / effective_mean_LOS.</t>
  </si>
  <si>
    <t>model_time</t>
  </si>
  <si>
    <t>Run setting input</t>
  </si>
  <si>
    <t>QMD Section 4</t>
  </si>
  <si>
    <t>Use longer runs for burn-in/equilibrium checks.</t>
  </si>
  <si>
    <t>time_step</t>
  </si>
  <si>
    <t>Half-day output step is compatible with daily rates.</t>
  </si>
  <si>
    <t>UKHSA_HO_rate_per_100k_beddays</t>
  </si>
  <si>
    <t>cases / 100,000 bed-days</t>
  </si>
  <si>
    <t>Calibration input</t>
  </si>
  <si>
    <t>UKHSA 2024/25 hospital-onset CDI rate</t>
  </si>
  <si>
    <t>Used to calculate the reported hospital-onset CDI target.</t>
  </si>
  <si>
    <t>UKHSA_CO_CDI_count</t>
  </si>
  <si>
    <t>cases/year</t>
  </si>
  <si>
    <t>UKHSA 2024/25 community-onset CDI count</t>
  </si>
  <si>
    <t>Used only as a check on prop_adm_I.</t>
  </si>
  <si>
    <t>UKHSA_total_beddays</t>
  </si>
  <si>
    <t>bed-days/year</t>
  </si>
  <si>
    <t>UKHSA 2024/25 denominator</t>
  </si>
  <si>
    <t>Used only as a check on community-onset import scaling.</t>
  </si>
  <si>
    <t>prop_adm_C</t>
  </si>
  <si>
    <t>proportion</t>
  </si>
  <si>
    <t>Admission toxigenic colonisation prevalence</t>
  </si>
  <si>
    <t>Central value from admission carriage meta-analysis.</t>
  </si>
  <si>
    <t>prop_adm_I</t>
  </si>
  <si>
    <t>Symptomatic/infected admissions</t>
  </si>
  <si>
    <t>Close to community-onset CDI import scaling when adm_rate is 133/day.</t>
  </si>
  <si>
    <t>isolate_before_test</t>
  </si>
  <si>
    <t>TRUE/FALSE</t>
  </si>
  <si>
    <t>Scenario control input</t>
  </si>
  <si>
    <t>make_mod_parms() argument</t>
  </si>
  <si>
    <t>Baseline assumes suspected cases are isolated before results.</t>
  </si>
  <si>
    <t>prop_I_suspected</t>
  </si>
  <si>
    <t>Use 0.5 in a missed-identification sensitivity scenario.</t>
  </si>
  <si>
    <t>test_sens</t>
  </si>
  <si>
    <t>Central value for toxin-positive clinical CDI detection; use ~0.90 for GDH/NAAT toxigenic detection.</t>
  </si>
  <si>
    <t>t_test_turnaround</t>
  </si>
  <si>
    <t>Central NHS lab-workflow assumption; scenario range 1-2 days.</t>
  </si>
  <si>
    <t>beta0</t>
  </si>
  <si>
    <t>per day</t>
  </si>
  <si>
    <t>Input assumption / calibration parameter</t>
  </si>
  <si>
    <t>Fixed list in Parameters.R</t>
  </si>
  <si>
    <t>Background/environmental colonisation force; calibrate.</t>
  </si>
  <si>
    <t>betaC</t>
  </si>
  <si>
    <t>Colonised-patient contribution to lambda; calibrate.</t>
  </si>
  <si>
    <t>betaI</t>
  </si>
  <si>
    <t>Unisolated symptomatic-patient contribution; calibrate.</t>
  </si>
  <si>
    <t>betaXtreat</t>
  </si>
  <si>
    <t>Isolated/treated contribution; lower than betaI.</t>
  </si>
  <si>
    <t>prop_progress_C_to_I</t>
  </si>
  <si>
    <t>proportion-like scaling</t>
  </si>
  <si>
    <t>Used in alpha formula</t>
  </si>
  <si>
    <t>Chosen so alpha is about 0.003/day with abx_prop=0.373, abx_mult=2, t_progress=30.</t>
  </si>
  <si>
    <t>abx_prop</t>
  </si>
  <si>
    <t>England acute-care antibiotic prevalence from PPS.</t>
  </si>
  <si>
    <t>abx_mult</t>
  </si>
  <si>
    <t>multiplier</t>
  </si>
  <si>
    <t>Risk multiplier is class/case-mix dependent; retain as sensitivity parameter.</t>
  </si>
  <si>
    <t>t_progress_C_to_I</t>
  </si>
  <si>
    <t>Time window for cumulative progression risk; prevents alpha from being too large.</t>
  </si>
  <si>
    <t>prop_decolonise_C_to_S</t>
  </si>
  <si>
    <t>Used in mu formula</t>
  </si>
  <si>
    <t>Weakly evidenced; retain current value and sensitivity-test.</t>
  </si>
  <si>
    <t>t_decolonise_C_to_S</t>
  </si>
  <si>
    <t>Retain current value as model assumption; sensitivity-test.</t>
  </si>
  <si>
    <t>losS</t>
  </si>
  <si>
    <t>Susceptible effective LOS before discharge, plus transfer time in disS formula.</t>
  </si>
  <si>
    <t>losC</t>
  </si>
  <si>
    <t>Colonised effective LOS before discharge, plus transfer time in disC formula.</t>
  </si>
  <si>
    <t>losI</t>
  </si>
  <si>
    <t>Symptomatic infected LOS assumption.</t>
  </si>
  <si>
    <t>losFN</t>
  </si>
  <si>
    <t>Discharge denominator for FN; actual FN sojourn also depends on sigma.</t>
  </si>
  <si>
    <t>losXtreat</t>
  </si>
  <si>
    <t>Treatment/recovery/isolation duration; NICE treatment courses are commonly 10 days, symptoms may take 1-2 weeks.</t>
  </si>
  <si>
    <t>t_patient_transfer</t>
  </si>
  <si>
    <t>Time to side-room transfer or discharge transfer in model denominators.</t>
  </si>
  <si>
    <t>t_identify_suspected</t>
  </si>
  <si>
    <t>Time from symptoms to suspected-case identification.</t>
  </si>
  <si>
    <t>t_wait_retest</t>
  </si>
  <si>
    <t>Retesting interval after false negative.</t>
  </si>
  <si>
    <t>prop_Xtreat_to_S</t>
  </si>
  <si>
    <t>Flow split: return to general ward vs discharge from Xtreat.</t>
  </si>
  <si>
    <t>prob_mort_S</t>
  </si>
  <si>
    <t>probability over losS</t>
  </si>
  <si>
    <t>Background mortality over susceptible LOS; not CDI-specific.</t>
  </si>
  <si>
    <t>mortI_mult</t>
  </si>
  <si>
    <t>Suggested if mortality outcomes should reflect CDI 30-day fatality; keep 2 if deaths are background-only.</t>
  </si>
  <si>
    <t>mortXtreat_mult</t>
  </si>
  <si>
    <t>Suggested to calibrate CDI-related deaths; can be lower than mortI_mult if treatment reduces mortality.</t>
  </si>
  <si>
    <t>target_HO_CDI_per_year</t>
  </si>
  <si>
    <t>Calculated</t>
  </si>
  <si>
    <t>UKHSA_HO_rate_per_100k_beddays, N0</t>
  </si>
  <si>
    <t>Reported hospital-onset CDI target for this model scale.</t>
  </si>
  <si>
    <t>target_HO_CDI_per_day</t>
  </si>
  <si>
    <t>cases/day</t>
  </si>
  <si>
    <t>Daily target for calibration of alpha/betas/confirmed cases.</t>
  </si>
  <si>
    <t>target_CO_CDI_imports_per_year</t>
  </si>
  <si>
    <t>UKHSA_CO_CDI_count, UKHSA_total_beddays, N0</t>
  </si>
  <si>
    <t>Approximate community-onset import target scaled to N0.</t>
  </si>
  <si>
    <t>target_prop_adm_I_from_CO</t>
  </si>
  <si>
    <t>target_CO_CDI_imports_per_year, adm_rate</t>
  </si>
  <si>
    <t>Check on prop_adm_I.</t>
  </si>
  <si>
    <t>adm_rate</t>
  </si>
  <si>
    <t>admissions/day</t>
  </si>
  <si>
    <t>N0, effective_mean_LOS</t>
  </si>
  <si>
    <t>Total admission flow into the model.</t>
  </si>
  <si>
    <t>admS</t>
  </si>
  <si>
    <t>patients/day</t>
  </si>
  <si>
    <t>Runtime calculated</t>
  </si>
  <si>
    <t>adm_rate, prop_adm_C, prop_adm_I</t>
  </si>
  <si>
    <t>Susceptible admissions in Model1A_ODE().</t>
  </si>
  <si>
    <t>admC</t>
  </si>
  <si>
    <t>adm_rate, prop_adm_C</t>
  </si>
  <si>
    <t>Colonised admissions in Model1A_ODE().</t>
  </si>
  <si>
    <t>admI</t>
  </si>
  <si>
    <t>adm_rate, prop_adm_I</t>
  </si>
  <si>
    <t>Infected admissions in Model1A_ODE().</t>
  </si>
  <si>
    <t>betaFN</t>
  </si>
  <si>
    <t>False negatives transmit like unisolated symptomatic infected cases.</t>
  </si>
  <si>
    <t>betaXtest</t>
  </si>
  <si>
    <t>isolate_before_test, betaXtreat, betaI</t>
  </si>
  <si>
    <t>Suspected cases transmit like Xtreat if isolated before test; otherwise like I.</t>
  </si>
  <si>
    <t>alpha</t>
  </si>
  <si>
    <t>prop_progress_C_to_I, abx_prop, abx_mult, t_progress_C_to_I</t>
  </si>
  <si>
    <t>C -&gt; I progression rate.</t>
  </si>
  <si>
    <t>mu</t>
  </si>
  <si>
    <t>prop_decolonise_C_to_S, t_decolonise_C_to_S</t>
  </si>
  <si>
    <t>C -&gt; S decolonisation rate.</t>
  </si>
  <si>
    <t>delta</t>
  </si>
  <si>
    <t>prop_Xtreat_to_S, losXtreat, t_patient_transfer</t>
  </si>
  <si>
    <t>Xtreat -&gt; S recovery/return rate.</t>
  </si>
  <si>
    <t>disS</t>
  </si>
  <si>
    <t>losS, t_patient_transfer</t>
  </si>
  <si>
    <t>S discharge rate.</t>
  </si>
  <si>
    <t>disC</t>
  </si>
  <si>
    <t>losC, t_patient_transfer</t>
  </si>
  <si>
    <t>C discharge rate.</t>
  </si>
  <si>
    <t>disI</t>
  </si>
  <si>
    <t>losI, t_patient_transfer</t>
  </si>
  <si>
    <t>I discharge rate.</t>
  </si>
  <si>
    <t>disFN</t>
  </si>
  <si>
    <t>losFN, t_patient_transfer</t>
  </si>
  <si>
    <t>FN discharge rate; retesting is a competing exit.</t>
  </si>
  <si>
    <t>disXtreat</t>
  </si>
  <si>
    <t>Xtreat direct discharge rate.</t>
  </si>
  <si>
    <t>mortS</t>
  </si>
  <si>
    <t>prob_mort_S, losS</t>
  </si>
  <si>
    <t>Susceptible daily mortality from cumulative LOS probability.</t>
  </si>
  <si>
    <t>mortC</t>
  </si>
  <si>
    <t>Colonised mortality set equal to susceptible mortality.</t>
  </si>
  <si>
    <t>mortI</t>
  </si>
  <si>
    <t>mortI_mult, mortS</t>
  </si>
  <si>
    <t>Untreated symptomatic mortality.</t>
  </si>
  <si>
    <t>mortXtest</t>
  </si>
  <si>
    <t>Suspected-case mortality set equal to I.</t>
  </si>
  <si>
    <t>mortFN</t>
  </si>
  <si>
    <t>False-negative mortality set equal to I.</t>
  </si>
  <si>
    <t>mortXtreat</t>
  </si>
  <si>
    <t>mortXtreat_mult, mortS</t>
  </si>
  <si>
    <t>Confirmed/treated mortality.</t>
  </si>
  <si>
    <t>gamma</t>
  </si>
  <si>
    <t>isolate_before_test, prop_I_suspected, t_identify_suspected, t_patient_transfer</t>
  </si>
  <si>
    <t>I -&gt; Xtest identification rate.</t>
  </si>
  <si>
    <t>gamma0</t>
  </si>
  <si>
    <t>prop_I_suspected, t_identify_suspected</t>
  </si>
  <si>
    <t>Missed-identification rate component.</t>
  </si>
  <si>
    <t>theta</t>
  </si>
  <si>
    <t>isolate_before_test, test_sens, t_test_turnaround, t_patient_transfer</t>
  </si>
  <si>
    <t>Xtest -&gt; Xtreat true-positive confirmation rate.</t>
  </si>
  <si>
    <t>pi</t>
  </si>
  <si>
    <t>Xtest -&gt; FN false-negative rate.</t>
  </si>
  <si>
    <t>sigma</t>
  </si>
  <si>
    <t>isolate_before_test, t_wait_retest, t_patient_transfer</t>
  </si>
  <si>
    <t>FN -&gt; Xtest retesting rate.</t>
  </si>
  <si>
    <t>C0</t>
  </si>
  <si>
    <t>patients</t>
  </si>
  <si>
    <t>Suggested calculated initial state</t>
  </si>
  <si>
    <t>N0, prop_adm_C</t>
  </si>
  <si>
    <t>QMD currently sets this directly; formula gives a consistent baseline.</t>
  </si>
  <si>
    <t>I0</t>
  </si>
  <si>
    <t>target_HO_CDI_per_day, gamma</t>
  </si>
  <si>
    <t>Approximate steady symptomatic pre-suspicion pool.</t>
  </si>
  <si>
    <t>Xtest0</t>
  </si>
  <si>
    <t>target_HO_CDI_per_day, theta</t>
  </si>
  <si>
    <t>Approximate awaiting-result pool for target confirmed rate.</t>
  </si>
  <si>
    <t>FN0</t>
  </si>
  <si>
    <t>pi, Xtest0, sigma, disFN, mortFN</t>
  </si>
  <si>
    <t>Approximate false-negative steady pool; zero is acceptable for burn-in runs.</t>
  </si>
  <si>
    <t>Xtreat0</t>
  </si>
  <si>
    <t>target_HO_CDI_per_day, delta, disXtreat, mortXtreat</t>
  </si>
  <si>
    <t>Approximate treated/confirmed steady pool.</t>
  </si>
  <si>
    <t>D0</t>
  </si>
  <si>
    <t>deaths</t>
  </si>
  <si>
    <t>QMD initial condition</t>
  </si>
  <si>
    <t>Cumulative absorbing count starts at zero.</t>
  </si>
  <si>
    <t>S0</t>
  </si>
  <si>
    <t>N0, C0, I0, Xtest0, FN0, Xtreat0, D0</t>
  </si>
  <si>
    <t>Residual living census after other initial states are specified.</t>
  </si>
  <si>
    <t>lambda_start</t>
  </si>
  <si>
    <t>beta0, betaC, betaI, betaFN, betaXtest, betaXtreat, initial states</t>
  </si>
  <si>
    <t>Initial force of colonisation; useful sanity check for beta calibration.</t>
  </si>
  <si>
    <t>new_colonisations_start</t>
  </si>
  <si>
    <t>lambda_start, S0</t>
  </si>
  <si>
    <t>Initial S -&gt; C flow.</t>
  </si>
  <si>
    <t>progressions_start</t>
  </si>
  <si>
    <t>alpha, C0</t>
  </si>
  <si>
    <t>Initial C -&gt; I flow; should be near the CDI calibration target if the target is all hospital-onset symptomatic CDI.</t>
  </si>
  <si>
    <t>Group</t>
  </si>
  <si>
    <t>Input/calculated in current code</t>
  </si>
  <si>
    <t>Script where set or calculated</t>
  </si>
  <si>
    <t>Model role</t>
  </si>
  <si>
    <t>Current value in uploaded files</t>
  </si>
  <si>
    <t>Suggested central value</t>
  </si>
  <si>
    <t>Plausible range / scenarios</t>
  </si>
  <si>
    <t>Determined by / dependencies</t>
  </si>
  <si>
    <t>Formula / encoding</t>
  </si>
  <si>
    <t>Reasoning</t>
  </si>
  <si>
    <t>Source URLs</t>
  </si>
  <si>
    <t>Confidence</t>
  </si>
  <si>
    <t>Scale / settings</t>
  </si>
  <si>
    <t>Input assumption; not explicit as single variable</t>
  </si>
  <si>
    <t>QMD Section 5 via S0+C0+I0+Xtest0+FN0+Xtreat0</t>
  </si>
  <si>
    <t>Initial living hospital census</t>
  </si>
  <si>
    <t>1000 implied by initial states</t>
  </si>
  <si>
    <t>Scale to local occupied acute beds</t>
  </si>
  <si>
    <t>Set initial states to sum to N0</t>
  </si>
  <si>
    <t>Use occupied acute beds as the model scale; a 1,000-bed model is about a large acute hospital/trust scale.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</si>
  <si>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https://www.nuffieldtrust.org.uk/resource/hospital-bed-occupancy; Uploaded Model1_ODE_Model_Run.qmd</t>
  </si>
  <si>
    <t>High for scaling</t>
  </si>
  <si>
    <t>Model1_ODE_Model_Run.qmd Section 4</t>
  </si>
  <si>
    <t>Simulation duration</t>
  </si>
  <si>
    <t>365</t>
  </si>
  <si>
    <t>365-3650</t>
  </si>
  <si>
    <t>User/model run design</t>
  </si>
  <si>
    <t>run_settings$model_time</t>
  </si>
  <si>
    <t>One year aligns with annual CDI targets; longer runs are useful for burn-in.</t>
  </si>
  <si>
    <t>Uploaded Model1_ODE_Model_Run.qmd; Uploaded README.md</t>
  </si>
  <si>
    <t>High</t>
  </si>
  <si>
    <t>ODE output time step</t>
  </si>
  <si>
    <t>0.5</t>
  </si>
  <si>
    <t>0.25-1</t>
  </si>
  <si>
    <t>run_settings$time_step</t>
  </si>
  <si>
    <t>Half-day outputs are suitable for daily rates and 1-day testing assumptions.</t>
  </si>
  <si>
    <t>Initial conditions</t>
  </si>
  <si>
    <t>Input set directly in current code; suggested value calculated</t>
  </si>
  <si>
    <t>QMD Section 5</t>
  </si>
  <si>
    <t>Susceptible patients at t=0</t>
  </si>
  <si>
    <t>870</t>
  </si>
  <si>
    <t>Residual after C0/I0/Xtest0/FN0/Xtreat0</t>
  </si>
  <si>
    <t>N0, C0, I0, Xtest0, FN0, Xtreat0</t>
  </si>
  <si>
    <t>S0 = N0 - C0 - I0 - Xtest0 - FN0 - Xtreat0</t>
  </si>
  <si>
    <t>Make S0 the residual so living states sum exactly to N0.</t>
  </si>
  <si>
    <t>Uploaded Model1_ODE_Model_Run.qmd; https://link.springer.com/article/10.1186/s13099-024-00674-0;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</si>
  <si>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Medium</t>
  </si>
  <si>
    <t>Colonised patients at t=0</t>
  </si>
  <si>
    <t>120</t>
  </si>
  <si>
    <t>50-125 per 1000</t>
  </si>
  <si>
    <t>C0 = N0 * prop_adm_C</t>
  </si>
  <si>
    <t>Toxigenic colonisation at admission is a reasonable starting prevalence proxy.</t>
  </si>
  <si>
    <t>https://link.springer.com/article/10.1186/s13099-024-00674-0</t>
  </si>
  <si>
    <t>Medium-high</t>
  </si>
  <si>
    <t>Symptomatic infected, not yet suspected</t>
  </si>
  <si>
    <t>10</t>
  </si>
  <si>
    <t>0.5-3 per 1000</t>
  </si>
  <si>
    <t>I0 approx target_HO_CDI_per_day / gamma</t>
  </si>
  <si>
    <t>Reported hospital-onset CDI rate implies a small unrecognised symptomatic pool if suspected cases are identified within about 2 days.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</si>
  <si>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Uploaded Model1_ODE_Parameters.R</t>
  </si>
  <si>
    <t>Suspected cases awaiting result</t>
  </si>
  <si>
    <t>0</t>
  </si>
  <si>
    <t>0-1.5 per 1000</t>
  </si>
  <si>
    <t>Xtest0 approx target_HO_CDI_per_day / theta</t>
  </si>
  <si>
    <t>Small non-zero initial value avoids early artificial delay; after burn-in it matters little.</t>
  </si>
  <si>
    <t>https://www.ouh.nhs.uk/microbiology/a-z/c-difficile/; Uploaded Model1_ODE_Parameters.R</t>
  </si>
  <si>
    <t>Low-medium</t>
  </si>
  <si>
    <t>False negatives awaiting retest</t>
  </si>
  <si>
    <t>0-1 per 1000</t>
  </si>
  <si>
    <t>FN0 approx (pi * Xtest0) / (sigma + disFN + mortFN)</t>
  </si>
  <si>
    <t>Only meaningful when test_sens &lt; 1; zero is acceptable for burn-in runs.</t>
  </si>
  <si>
    <t>https://www.gov.uk/government/publications/clostridioides-difficile-diagnostic-test-accuracy; https://www.ouh.nhs.uk/microbiology/a-z/c-difficile/; Uploaded Model1_ODE_Parameters.R</t>
  </si>
  <si>
    <t>Low</t>
  </si>
  <si>
    <t>Confirmed isolated/on treatment</t>
  </si>
  <si>
    <t>2-6 per 1000</t>
  </si>
  <si>
    <t>Xtreat0 approx target_HO_CDI_per_day / (delta + disXtreat + mortXtreat)</t>
  </si>
  <si>
    <t>Uses reported HO-CDI incidence and the model's exits from Xtreat to initialise near steady occupancy.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</si>
  <si>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https://www.nice.org.uk/guidance/ng199/chapter/Recommendations; Uploaded Model1_ODE_Parameters.R</t>
  </si>
  <si>
    <t>Cumulative deaths</t>
  </si>
  <si>
    <t>None</t>
  </si>
  <si>
    <t>D0 = 0</t>
  </si>
  <si>
    <t>Cumulative absorbing count should start at zero unless continuing a prior run.</t>
  </si>
  <si>
    <t>Uploaded Model1_ODE_Model_Run.qmd</t>
  </si>
  <si>
    <t>Admissions</t>
  </si>
  <si>
    <t>Calculated suggested value; currently input fixed</t>
  </si>
  <si>
    <t>Parameters.R fixed list; suggested from N0/effective_mean_LOS</t>
  </si>
  <si>
    <t>Total admissions per day</t>
  </si>
  <si>
    <t>1000/day</t>
  </si>
  <si>
    <t>100-200/day for mean LOS 10-5 days</t>
  </si>
  <si>
    <t>adm_rate = N0 / effective_mean_LOS</t>
  </si>
  <si>
    <t>For this ODE scale, admissions should be tied to census and effective LOS rather than total annual finished episodes.</t>
  </si>
  <si>
    <t>https://www.england.nhs.uk/statistics/statistical-work-areas/bed-availability-and-occupancy/; https://digital.nhs.uk/data-and-information/publications/statistical/hospital-admitted-patient-care-activity/2024-25; https://www.health.org.uk/reports-and-analysis/briefings/longer-hospital-stays-and-fewer-admissions; https://www.england.nhs.uk/long-read/the-model-acute-pathway-standards-for-care-of-acutely-unwell-patients-in-their-first-72-hours-in-hospital/; Uploaded Model1_ODE_Parameters.R</t>
  </si>
  <si>
    <t>Parameters.R fixed list</t>
  </si>
  <si>
    <t>Proportion of admissions colonised</t>
  </si>
  <si>
    <t>0.11</t>
  </si>
  <si>
    <t>0.05-0.125</t>
  </si>
  <si>
    <t>External admission colonisation prevalence</t>
  </si>
  <si>
    <t>admC = adm_rate * prop_adm_C</t>
  </si>
  <si>
    <t>Admission toxigenic carriage around 8-9% is a defensible baseline, with high heterogeneity.</t>
  </si>
  <si>
    <t>Proportion of admissions infected/symptomatic</t>
  </si>
  <si>
    <t>0.002</t>
  </si>
  <si>
    <t>0.0005-0.003</t>
  </si>
  <si>
    <t>Community-onset CDI import target, adm_rate</t>
  </si>
  <si>
    <t>admI = adm_rate * prop_adm_I</t>
  </si>
  <si>
    <t>At 133 admissions/day, 0.002 gives about 97 infected admissions/year per 1,000 beds, close to community-onset CDI scaling.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</si>
  <si>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</si>
  <si>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Functions.R Model1A_ODE()</t>
  </si>
  <si>
    <t>Susceptible admissions per day</t>
  </si>
  <si>
    <t>Calculated at runtime</t>
  </si>
  <si>
    <t>Depends on adm_rate and admission prevalence</t>
  </si>
  <si>
    <t>admS = adm_rate * (1 - prop_adm_C - prop_adm_I)</t>
  </si>
  <si>
    <t>Useful check that admission compartments sum to adm_rate.</t>
  </si>
  <si>
    <t>Uploaded Model1_ODE_Functions.R; Uploaded Model1_ODE_Parameters.R</t>
  </si>
  <si>
    <t>Formula</t>
  </si>
  <si>
    <t>Colonised admissions per day</t>
  </si>
  <si>
    <t>Depends on adm_rate and prop_adm_C</t>
  </si>
  <si>
    <t>Derived flow into C.</t>
  </si>
  <si>
    <t>Infected admissions per day</t>
  </si>
  <si>
    <t>Depends on adm_rate and prop_adm_I</t>
  </si>
  <si>
    <t>Derived flow into I.</t>
  </si>
  <si>
    <t>Scenario controls</t>
  </si>
  <si>
    <t>make_mod_parms() argument in Parameters.R; values set in QMD Section 3</t>
  </si>
  <si>
    <t>Whether suspected cases are isolated before result</t>
  </si>
  <si>
    <t>TRUE in S1-S4</t>
  </si>
  <si>
    <t>Scenario design</t>
  </si>
  <si>
    <t>Passed to make_mod_parms()</t>
  </si>
  <si>
    <t>This drives betaXtest, gamma, theta, pi and sigma formulas.</t>
  </si>
  <si>
    <t>Uploaded Model1_ODE_Model_Run.qmd; Uploaded Model1_ODE_Parameters.R</t>
  </si>
  <si>
    <t>Proportion of infected patients identified as suspected</t>
  </si>
  <si>
    <t>1.0 in S1/S2; 0.5 in S3/S4</t>
  </si>
  <si>
    <t>0.5-1.0</t>
  </si>
  <si>
    <t>Used in gamma and gamma0</t>
  </si>
  <si>
    <t>Keep as a scenario control for missed untested cases.</t>
  </si>
  <si>
    <t>Scenario assumption</t>
  </si>
  <si>
    <t>Diagnostic sensitivity</t>
  </si>
  <si>
    <t>1.0 in S1/S3; 0.5 in S2/S4</t>
  </si>
  <si>
    <t>0.55-0.82 toxin-positive pathway; 0.86-0.96 GDH/NAAT toxigenic detection</t>
  </si>
  <si>
    <t>Diagnostic test/algorithm choice</t>
  </si>
  <si>
    <t>Used in theta and pi</t>
  </si>
  <si>
    <t>Use lower values for toxin-positive clinical CDI detection; higher values for GDH/NAAT toxigenic detection.</t>
  </si>
  <si>
    <t>https://www.gov.uk/government/publications/clostridioides-difficile-diagnostic-test-accuracy</t>
  </si>
  <si>
    <t>Days from test to result/transfer logic</t>
  </si>
  <si>
    <t>2</t>
  </si>
  <si>
    <t>1-2 days</t>
  </si>
  <si>
    <t>Lab workflow</t>
  </si>
  <si>
    <t>One day is a reasonable central operational value; retain 2 days as slower-turnaround scenario.</t>
  </si>
  <si>
    <t>https://www.ouh.nhs.uk/microbiology/a-z/c-difficile/; https://www.leedsth.nhs.uk/services/pathology/tests/clostridium-difficile-gdh-toxin-testing/</t>
  </si>
  <si>
    <t>Transmission</t>
  </si>
  <si>
    <t>Background/environmental colonisation force</t>
  </si>
  <si>
    <t>0.30/day</t>
  </si>
  <si>
    <t>0.0001-0.002</t>
  </si>
  <si>
    <t>Calibration to HO-CDI/colonisation targets</t>
  </si>
  <si>
    <t>lambda includes beta0 directly</t>
  </si>
  <si>
    <t>Current beta0 alone implies hundreds of colonisations/day for N0=1000; reduce and calibrate.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</si>
  <si>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https://journals.plos.org/plosmedicine/article?id=10.1371/journal.pmed.1004712; https://www.cambridge.org/core/journals/infection-control-and-hospital-epidemiology/article/quantitative-summarization-of-hightouch-surfaces-and-epidemiological-parameters-of-clostridioides-difficile-acquisition-and-transmission-for-mathematical-modeling-a-systematic-review/CC98DD3B4DD7B5ACF7C07F9CC5476180; Uploaded Model1_ODE_Functions.R</t>
  </si>
  <si>
    <t>Colonised-patient contribution to lambda</t>
  </si>
  <si>
    <t>0.50/day</t>
  </si>
  <si>
    <t>0.002-0.020</t>
  </si>
  <si>
    <t>Calibration</t>
  </si>
  <si>
    <t>lambda contribution = betaC*C/N</t>
  </si>
  <si>
    <t>Not directly observable; calibrate with beta0 and betaI.</t>
  </si>
  <si>
    <t>https://journals.plos.org/plosmedicine/article?id=10.1371/journal.pmed.1004712; https://www.cambridge.org/core/journals/infection-control-and-hospital-epidemiology/article/quantitative-summarization-of-hightouch-surfaces-and-epidemiological-parameters-of-clostridioides-difficile-acquisition-and-transmission-for-mathematical-modeling-a-systematic-review/CC98DD3B4DD7B5ACF7C07F9CC5476180; Uploaded Model1_ODE_Functions.R</t>
  </si>
  <si>
    <t>Unisolated symptomatic infected contribution to lambda</t>
  </si>
  <si>
    <t>0.80/day</t>
  </si>
  <si>
    <t>0.010-0.080</t>
  </si>
  <si>
    <t>lambda contribution = betaI*I/N; betaFN = betaI</t>
  </si>
  <si>
    <t>Use higher than betaC but much lower than current value for a 1,000-bed scale.</t>
  </si>
  <si>
    <t>Isolated/treated confirmed-case contribution to lambda</t>
  </si>
  <si>
    <t>0.001-0.010</t>
  </si>
  <si>
    <t>Isolation/treatment effect assumption</t>
  </si>
  <si>
    <t>lambda contribution = betaXtreat*Xtreat/N</t>
  </si>
  <si>
    <t>Use lower than betaI to represent reduced onward exposure after isolation/treatment.</t>
  </si>
  <si>
    <t>https://journals.plos.org/plosmedicine/article?id=10.1371/journal.pmed.1004712; Uploaded Model1_ODE_Functions.R; Uploaded Model1_ODE_Parameters.R</t>
  </si>
  <si>
    <t>Parameters.R make_mod_parms()</t>
  </si>
  <si>
    <t>Transmission from false negatives</t>
  </si>
  <si>
    <t>Same as betaI unless behaviour changes</t>
  </si>
  <si>
    <t>betaFN &lt;- betaI</t>
  </si>
  <si>
    <t>False negatives are symptomatic and not isolated, so treating them like I is conceptually consistent.</t>
  </si>
  <si>
    <t>Uploaded Model1_ODE_Parameters.R</t>
  </si>
  <si>
    <t>Formula/model assumption</t>
  </si>
  <si>
    <t>Transmission from suspected cases awaiting result</t>
  </si>
  <si>
    <t>betaXtreat if isolated; betaI otherwise</t>
  </si>
  <si>
    <t>Scenario-dependent</t>
  </si>
  <si>
    <t>betaXtest &lt;- if (isolate_before_test) betaXtreat else betaI</t>
  </si>
  <si>
    <t>This is a scenario mechanism rather than a biological input.</t>
  </si>
  <si>
    <t>lambda</t>
  </si>
  <si>
    <t>Force of colonisation</t>
  </si>
  <si>
    <t>See notes</t>
  </si>
  <si>
    <t>Calibrate to plausible colonisation and CDI incidence</t>
  </si>
  <si>
    <t>beta0, betaC, betaI, betaFN, betaXtest, betaXtreat, states, N</t>
  </si>
  <si>
    <t>lambda = beta0 + ((betaC*C + betaI*I + betaXtest*Xtest + betaFN*FN + betaXtreat*Xtreat)/N)</t>
  </si>
  <si>
    <t>This is the key beta calibration output; check day-0 and equilibrium values.</t>
  </si>
  <si>
    <t>Uploaded Model1_ODE_Functions.R;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https://journals.plos.org/plosmedicine/article?id=10.1371/journal.pmed.1004712</t>
  </si>
  <si>
    <t>Progression</t>
  </si>
  <si>
    <t>Progression scaling in alpha</t>
  </si>
  <si>
    <t>0.50</t>
  </si>
  <si>
    <t>0.03-0.12 for reported HO-CDI calibration; up to ~0.218 for broader true CDI risk</t>
  </si>
  <si>
    <t>Target alpha, abx_prop, abx_mult, t_progress_C_to_I</t>
  </si>
  <si>
    <t>alpha = prop_progress_C_to_I*((1-abx_prop)+(abx_prop*abx_mult))/t_progress_C_to_I</t>
  </si>
  <si>
    <t>The current 0.50 over 5 days makes alpha far too high. Suggested value is calibrated so alpha is about 0.003/day.</t>
  </si>
  <si>
    <t>https://scholars.houstonmethodist.org/en/publications/colonization-with-toxinogenic-c-difficile-upon-hospital-admission/;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Uploaded Model1_ODE_Parameters.R</t>
  </si>
  <si>
    <t>Medium-low</t>
  </si>
  <si>
    <t>Proportion antibiotic-exposed</t>
  </si>
  <si>
    <t>0.25-0.50</t>
  </si>
  <si>
    <t>Antibiotic prevalence in target ward/population</t>
  </si>
  <si>
    <t>Used in alpha multiplier</t>
  </si>
  <si>
    <t>England acute-care PPS estimate supports 0.373 as a central value; use higher values for elderly/high-risk wards.</t>
  </si>
  <si>
    <t>https://www.gov.uk/government/news/ukhsa-publishes-latest-survey-on-healthcare-associated-infections</t>
  </si>
  <si>
    <t>Multiplier for progression among antibiotic-exposed colonised patients</t>
  </si>
  <si>
    <t>2.0</t>
  </si>
  <si>
    <t>1.5-4.0</t>
  </si>
  <si>
    <t>Antibiotic class/case-mix risk</t>
  </si>
  <si>
    <t>Keep as a sensitivity parameter because antibiotic class and patient risk vary substantially.</t>
  </si>
  <si>
    <t>https://scholars.houstonmethodist.org/en/publications/colonization-with-toxinogenic-c-difficile-upon-hospital-admission/; https://www.gov.uk/government/news/ukhsa-publishes-latest-survey-on-healthcare-associated-infections</t>
  </si>
  <si>
    <t>Time window for progression calculation</t>
  </si>
  <si>
    <t>5</t>
  </si>
  <si>
    <t>14-60 days</t>
  </si>
  <si>
    <t>Natural history / calibration window</t>
  </si>
  <si>
    <t>Used in alpha denominator</t>
  </si>
  <si>
    <t>A longer window is needed if prop_progress_C_to_I is interpreted as a cumulative risk rather than a daily proportion.</t>
  </si>
  <si>
    <t>https://scholars.houstonmethodist.org/en/publications/colonization-with-toxinogenic-c-difficile-upon-hospital-admission/; Uploaded Model1_ODE_Parameters.R</t>
  </si>
  <si>
    <t>Daily C -&gt; I progression rate</t>
  </si>
  <si>
    <t>0.15/day with current fixed values</t>
  </si>
  <si>
    <t>0.002-0.006/day for reported HO-CDI calibration</t>
  </si>
  <si>
    <t>Suggested inputs give alpha near 0.003/day; alpha*C0 is close to the daily HO-CDI target.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</si>
  <si>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https://scholars.houstonmethodist.org/en/publications/colonization-with-toxinogenic-c-difficile-upon-hospital-admission/; Uploaded Model1_ODE_Parameters.R</t>
  </si>
  <si>
    <t>Formula/calibration</t>
  </si>
  <si>
    <t>Decolonisation</t>
  </si>
  <si>
    <t>Proportion decolonising without treatment</t>
  </si>
  <si>
    <t>0.05</t>
  </si>
  <si>
    <t>0.02-0.10</t>
  </si>
  <si>
    <t>Model assumption / sensitivity</t>
  </si>
  <si>
    <t>mu = prop_decolonise_C_to_S / t_decolonise_C_to_S</t>
  </si>
  <si>
    <t>Weak evidence for a single acute-stay decolonisation value; keep and sensitivity-test.</t>
  </si>
  <si>
    <t>Mean time denominator for decolonisation</t>
  </si>
  <si>
    <t>5-30</t>
  </si>
  <si>
    <t>Retain as modelling assumption unless you add a longer colonisation-duration structure.</t>
  </si>
  <si>
    <t>Daily C -&gt; S decolonisation rate</t>
  </si>
  <si>
    <t>0.01/day</t>
  </si>
  <si>
    <t>Depends on decolonisation inputs</t>
  </si>
  <si>
    <t>Formula-derived; not a separate sourced parameter.</t>
  </si>
  <si>
    <t>LOS / discharge</t>
  </si>
  <si>
    <t>Susceptible LOS denominator</t>
  </si>
  <si>
    <t>7</t>
  </si>
  <si>
    <t>5-10</t>
  </si>
  <si>
    <t>Effective overnight acute LOS</t>
  </si>
  <si>
    <t>disS = 1/(losS + t_patient_transfer)</t>
  </si>
  <si>
    <t>Compatible with a 7.5-day effective stay once 0.5-day transfer is included.</t>
  </si>
  <si>
    <t>https://www.health.org.uk/reports-and-analysis/briefings/longer-hospital-stays-and-fewer-admissions; https://www.england.nhs.uk/long-read/the-model-acute-pathway-standards-for-care-of-acutely-unwell-patients-in-their-first-72-hours-in-hospital/; Uploaded Model1_ODE_Parameters.R</t>
  </si>
  <si>
    <t>Colonised LOS denominator</t>
  </si>
  <si>
    <t>disC = 1/(losC + t_patient_transfer)</t>
  </si>
  <si>
    <t>Assume similar LOS to susceptible unless colonisation is a marker of frailty/case mix.</t>
  </si>
  <si>
    <t>https://www.health.org.uk/reports-and-analysis/briefings/longer-hospital-stays-and-fewer-admissions; Uploaded Model1_ODE_Parameters.R</t>
  </si>
  <si>
    <t>Infected LOS denominator</t>
  </si>
  <si>
    <t>14</t>
  </si>
  <si>
    <t>10-21</t>
  </si>
  <si>
    <t>Symptomatic CDI/acute-care LOS</t>
  </si>
  <si>
    <t>disI = 1/(losI + t_patient_transfer)</t>
  </si>
  <si>
    <t>Infected patients have longer stays than non-infected patients in the model.</t>
  </si>
  <si>
    <t>https://www.nice.org.uk/guidance/ng199/chapter/Recommendations; Uploaded Model1_ODE_Parameters.R</t>
  </si>
  <si>
    <t>FN discharge denominator</t>
  </si>
  <si>
    <t>Symptomatic but not confirmed; retesting competing exit</t>
  </si>
  <si>
    <t>disFN = 1/(losFN + t_patient_transfer)</t>
  </si>
  <si>
    <t>Keep equal to losI unless modelling faster clinical reassessment.</t>
  </si>
  <si>
    <t>Model assumption</t>
  </si>
  <si>
    <t>Treatment / recovery</t>
  </si>
  <si>
    <t>Treatment/recovery duration denominator</t>
  </si>
  <si>
    <t>10-14</t>
  </si>
  <si>
    <t>Treatment course/symptom resolution</t>
  </si>
  <si>
    <t>delta and disXtreat denominators use losXtreat + t_patient_transfer</t>
  </si>
  <si>
    <t>NICE treatment courses are typically 10 days; diarrhoea may take 1-2 weeks to resolve.</t>
  </si>
  <si>
    <t>https://www.nice.org.uk/guidance/ng199/chapter/Recommendations</t>
  </si>
  <si>
    <t>Additional transfer time in selected denominators</t>
  </si>
  <si>
    <t>Operational workflow</t>
  </si>
  <si>
    <t>Used in gamma/theta/pi/sigma/delta/discharge formulas depending on scenario</t>
  </si>
  <si>
    <t>Reasonable half-day operational delay; test in sensitivity analysis.</t>
  </si>
  <si>
    <t>Daily S discharge rate</t>
  </si>
  <si>
    <t>0.1333/day</t>
  </si>
  <si>
    <t>Depends on losS and transfer</t>
  </si>
  <si>
    <t>Formula-derived from LOS assumption.</t>
  </si>
  <si>
    <t>Daily C discharge rate</t>
  </si>
  <si>
    <t>Depends on losC and transfer</t>
  </si>
  <si>
    <t>Daily I discharge rate</t>
  </si>
  <si>
    <t>0.0690/day</t>
  </si>
  <si>
    <t>Depends on losI and transfer</t>
  </si>
  <si>
    <t>Daily FN discharge rate</t>
  </si>
  <si>
    <t>Depends on losFN and transfer</t>
  </si>
  <si>
    <t>Formula-derived; retesting is a competing exit from FN.</t>
  </si>
  <si>
    <t>Flow split from Xtreat to recovered S versus direct discharge</t>
  </si>
  <si>
    <t>0.80</t>
  </si>
  <si>
    <t>0.50-0.90</t>
  </si>
  <si>
    <t>Pathway assumption</t>
  </si>
  <si>
    <t>delta = prop/(losXtreat+transfer); disXtreat=(1-prop)/(losXtreat+transfer)</t>
  </si>
  <si>
    <t>This is not a clinical cure probability; it determines whether treated patients return to a general ward or leave hospital.</t>
  </si>
  <si>
    <t>Daily Xtreat -&gt; S recovery/return rate</t>
  </si>
  <si>
    <t>0.0552/day</t>
  </si>
  <si>
    <t>Depends on prop_Xtreat_to_S and losXtreat</t>
  </si>
  <si>
    <t>delta = prop_Xtreat_to_S/(losXtreat + t_patient_transfer)</t>
  </si>
  <si>
    <t>Formula-derived from the treatment/recovery duration and pathway split.</t>
  </si>
  <si>
    <t>Daily direct discharge from Xtreat</t>
  </si>
  <si>
    <t>0.0138/day</t>
  </si>
  <si>
    <t>disXtreat = (1 - prop_Xtreat_to_S)/(losXtreat + t_patient_transfer)</t>
  </si>
  <si>
    <t>Formula-derived and should be read with delta.</t>
  </si>
  <si>
    <t>Identification / testing</t>
  </si>
  <si>
    <t>Time from symptoms to suspicion</t>
  </si>
  <si>
    <t>1-3</t>
  </si>
  <si>
    <t>Clinical recognition/isolation workflow</t>
  </si>
  <si>
    <t>Central operational assumption; can be varied to represent missed/delayed recognition.</t>
  </si>
  <si>
    <t>Time from false-negative result to retest</t>
  </si>
  <si>
    <t>5-7</t>
  </si>
  <si>
    <t>Lab/clinical retesting practice</t>
  </si>
  <si>
    <t>Used in sigma</t>
  </si>
  <si>
    <t>Seven days aligns with common guidance not to repeat after a negative within a short interval.</t>
  </si>
  <si>
    <t>https://www.ouh.nhs.uk/microbiology/a-z/c-difficile/</t>
  </si>
  <si>
    <t>Daily I -&gt; Xtest suspected-case identification rate</t>
  </si>
  <si>
    <t>0.4/day if prop=1 and isolated; 0.2/day if prop=0.5 and isolated</t>
  </si>
  <si>
    <t>if isolated: prop_I_suspected/(t_identify_suspected+t_patient_transfer); else prop_I_suspected/t_identify_suspected</t>
  </si>
  <si>
    <t>Formula-derived from recognition probability and timing.</t>
  </si>
  <si>
    <t>Daily missed-identification rate component</t>
  </si>
  <si>
    <t>0/day if prop=1; 0.25/day if prop=0.5</t>
  </si>
  <si>
    <t>gamma0 = (1 - prop_I_suspected)/t_identify_suspected</t>
  </si>
  <si>
    <t>Formula-derived; this feeds the missed untested case accounting.</t>
  </si>
  <si>
    <t>Daily Xtest -&gt; Xtreat true-positive rate</t>
  </si>
  <si>
    <t>0.5/day in S1/S3 with turnaround=2; 0.25/day in S2/S4</t>
  </si>
  <si>
    <t>if isolated: test_sens/t_test_turnaround; else test_sens/(t_test_turnaround+t_patient_transfer)</t>
  </si>
  <si>
    <t>Formula-derived from diagnostic sensitivity and turnaround.</t>
  </si>
  <si>
    <t>https://www.gov.uk/government/publications/clostridioides-difficile-diagnostic-test-accuracy; Uploaded Model1_ODE_Parameters.R</t>
  </si>
  <si>
    <t>Daily Xtest -&gt; FN false-negative rate</t>
  </si>
  <si>
    <t>0/day in S1/S3; 0.2/day in S2/S4</t>
  </si>
  <si>
    <t>if isolated: (1-test_sens)/(t_test_turnaround+t_patient_transfer); else (1-test_sens)/t_test_turnaround</t>
  </si>
  <si>
    <t>Formula-derived; keep theta+pi under review when using very short turnaround assumptions.</t>
  </si>
  <si>
    <t>Daily FN -&gt; Xtest retesting rate</t>
  </si>
  <si>
    <t>0.1333/day when isolated</t>
  </si>
  <si>
    <t>0.125-0.20/day</t>
  </si>
  <si>
    <t>if isolated: 1/(t_wait_retest+t_patient_transfer); else 1/t_wait_retest</t>
  </si>
  <si>
    <t>Formula-derived from retesting interval and transfer logic.</t>
  </si>
  <si>
    <t>Mortality</t>
  </si>
  <si>
    <t>Baseline cumulative death probability over susceptible LOS</t>
  </si>
  <si>
    <t>0.001</t>
  </si>
  <si>
    <t>probability</t>
  </si>
  <si>
    <t>0.001-0.01</t>
  </si>
  <si>
    <t>Background mortality assumption</t>
  </si>
  <si>
    <t>mortS = prob2rate(prob_mort_S, losS)</t>
  </si>
  <si>
    <t>Keep small for background mortality; CDI-specific death requires multipliers or direct CDI mortality calibration.</t>
  </si>
  <si>
    <t>Multiplier on mortS for I/Xtest/FN</t>
  </si>
  <si>
    <t>10-50+ if CDI deaths are modelled</t>
  </si>
  <si>
    <t>CDI mortality target, mortS</t>
  </si>
  <si>
    <t>mortI = mortI_mult * mortS</t>
  </si>
  <si>
    <t>Suggested central value gives a moderate CDI mortality rate; calibrate to 30-day CFR if deaths are a core outcome.</t>
  </si>
  <si>
    <t>Medium for target, low for mapping</t>
  </si>
  <si>
    <t>Multiplier on mortS for Xtreat</t>
  </si>
  <si>
    <t>1.2</t>
  </si>
  <si>
    <t>mortXtreat = mortXtreat_mult * mortS</t>
  </si>
  <si>
    <t>Use lower than mortI_mult only if treatment is assumed to substantially reduce acute mortality.</t>
  </si>
  <si>
    <t>Daily mortality in susceptible</t>
  </si>
  <si>
    <t>0.000143/day</t>
  </si>
  <si>
    <t>Depends on prob_mort_S and losS</t>
  </si>
  <si>
    <t>mortS = prob2rate(prob_mort_S, losS) = -ln(1-prob_mort_S)/losS</t>
  </si>
  <si>
    <t>Formula-derived.</t>
  </si>
  <si>
    <t>Daily mortality in colonised</t>
  </si>
  <si>
    <t>same as mortS</t>
  </si>
  <si>
    <t>mortC &lt;- mortS</t>
  </si>
  <si>
    <t>Formula/model assumption.</t>
  </si>
  <si>
    <t>Daily mortality in I</t>
  </si>
  <si>
    <t>mortI_mult*mortS = 0.000286/day currently</t>
  </si>
  <si>
    <t>Depends on multiplier</t>
  </si>
  <si>
    <t>Formula-derived; suggested value reflects the larger mortality multiplier.</t>
  </si>
  <si>
    <t>Formula/target</t>
  </si>
  <si>
    <t>Daily mortality in Xtest</t>
  </si>
  <si>
    <t>same as mortI</t>
  </si>
  <si>
    <t>mortXtest &lt;- mortI</t>
  </si>
  <si>
    <t>Symptomatic suspected cases are assumed to have the same mortality as I.</t>
  </si>
  <si>
    <t>Daily mortality in FN</t>
  </si>
  <si>
    <t>mortFN &lt;- mortI</t>
  </si>
  <si>
    <t>False negatives are symptomatic and not confirmed/treated, so mortality follows I.</t>
  </si>
  <si>
    <t>Daily mortality in Xtreat</t>
  </si>
  <si>
    <t>0.000172/day currently</t>
  </si>
  <si>
    <t>Formula-derived; calibrate if CDI deaths matter.</t>
  </si>
  <si>
    <t>Calibration targets</t>
  </si>
  <si>
    <t>Calculated helper; not currently in script</t>
  </si>
  <si>
    <t>Suggested Baseline calculator</t>
  </si>
  <si>
    <t>Reported hospital-onset CDI target for N0</t>
  </si>
  <si>
    <t>Not explicit</t>
  </si>
  <si>
    <t>Use local trust count if available</t>
  </si>
  <si>
    <t>23.3/100000 * N0 * 365</t>
  </si>
  <si>
    <t>For N0=1000 this is about 85/year and is the primary calibration target.</t>
  </si>
  <si>
    <t>Daily reported hospital-onset CDI target</t>
  </si>
  <si>
    <t>Scale with N0</t>
  </si>
  <si>
    <t>target_HO_CDI_per_year / 365</t>
  </si>
  <si>
    <t>Useful for checking alpha*C0 and confirmed-case output.</t>
  </si>
  <si>
    <t>Approximate community-onset symptomatic CDI import target</t>
  </si>
  <si>
    <t>Use local admission-mix data if available</t>
  </si>
  <si>
    <t>UKHSA_CO_CDI_count / UKHSA_total_beddays * N0 * 365</t>
  </si>
  <si>
    <t>A check on prop_adm_I rather than a strict target.</t>
  </si>
  <si>
    <t>Calibration checks</t>
  </si>
  <si>
    <t>Functions.R Model1A_ODE(); reproduced in Baseline calculator</t>
  </si>
  <si>
    <t>Initial force of colonisation</t>
  </si>
  <si>
    <t>Not reported as parameter</t>
  </si>
  <si>
    <t>Should not imply implausibly high colonisations</t>
  </si>
  <si>
    <t>betas, initial states, N0</t>
  </si>
  <si>
    <t>See lambda formula</t>
  </si>
  <si>
    <t>Sanity check: beta calibration should keep new colonisations plausible for a 1,000-bed scale.</t>
  </si>
  <si>
    <t>Uploaded Model1_ODE_Functions.R; https://journals.plos.org/plosmedicine/article?id=10.1371/journal.pmed.1004712; https://www.cambridge.org/core/journals/infection-control-and-hospital-epidemiology/article/quantitative-summarization-of-hightouch-surfaces-and-epidemiological-parameters-of-clostridioides-difficile-acquisition-and-transmission-for-mathematical-modeling-a-systematic-review/CC98DD3B4DD7B5ACF7C07F9CC5476180</t>
  </si>
  <si>
    <t>Formula/check</t>
  </si>
  <si>
    <t>Initial S -&gt; C flow</t>
  </si>
  <si>
    <t>Calibration-dependent</t>
  </si>
  <si>
    <t>lambda_start * S0</t>
  </si>
  <si>
    <t>This is not directly observed in surveillance but helps detect beta values that are too high.</t>
  </si>
  <si>
    <t>Uploaded Model1_ODE_Functions.R;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</si>
  <si>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Initial C -&gt; I flow</t>
  </si>
  <si>
    <t>Should be near HO-CDI target if I represents reportable CDI</t>
  </si>
  <si>
    <t>alpha * C0</t>
  </si>
  <si>
    <t>With suggested values, this is close to the daily hospital-onset CDI target.</t>
  </si>
  <si>
    <t>Item</t>
  </si>
  <si>
    <t>Value</t>
  </si>
  <si>
    <t>Workbook purpose</t>
  </si>
  <si>
    <t>Sourcing and consistency table for Model 1 ODE CDI parameters.</t>
  </si>
  <si>
    <t>Main addition</t>
  </si>
  <si>
    <t>Column C classifies each item as an input/scenario setting, calculated value, runtime calculated quantity, or helper target.</t>
  </si>
  <si>
    <t>Script location added</t>
  </si>
  <si>
    <t>Column D gives the script and section/function where each value is set or calculated.</t>
  </si>
  <si>
    <t>Dependencies added</t>
  </si>
  <si>
    <t>Column J lists the parameters that determine each calculated value.</t>
  </si>
  <si>
    <t>Consistency check</t>
  </si>
  <si>
    <t>The Baseline calculator sheet calculates derived suggested values from the same input assumptions; Parameter table column G links to those cells.</t>
  </si>
  <si>
    <t>Suggested model scale</t>
  </si>
  <si>
    <t>N0 = 1,000 occupied acute beds.</t>
  </si>
  <si>
    <t>Suggested admission rate</t>
  </si>
  <si>
    <t>adm_rate = N0 / 7.5 = 133.3 admissions/day.</t>
  </si>
  <si>
    <t>Primary calibration target</t>
  </si>
  <si>
    <t>Hospital-onset CDI = 23.3 per 100,000 bed-days = about 85/year per 1,000 occupied beds.</t>
  </si>
  <si>
    <t>Important caveat</t>
  </si>
  <si>
    <t>Betas and alpha are calibration parameters, not directly observable constants. Use annual confirmed HO-CDI and plausibility checks for colonisation flows.</t>
  </si>
  <si>
    <t>Source</t>
  </si>
  <si>
    <t>URL / file</t>
  </si>
  <si>
    <t>UKHSA annual epidemiological commentary FY2024/25</t>
  </si>
  <si>
    <t>NHS England bed availability and occupancy</t>
  </si>
  <si>
    <t>https://www.england.nhs.uk/statistics/statistical-work-areas/bed-availability-and-occupancy/</t>
  </si>
  <si>
    <t>Nuffield Trust hospital bed occupancy</t>
  </si>
  <si>
    <t>https://www.nuffieldtrust.org.uk/resource/hospital-bed-occupancy</t>
  </si>
  <si>
    <t>NHS Digital admitted patient care activity 2024/25</t>
  </si>
  <si>
    <t>https://digital.nhs.uk/data-and-information/publications/statistical/hospital-admitted-patient-care-activity/2024-25</t>
  </si>
  <si>
    <t>Health Foundation length of stay analysis</t>
  </si>
  <si>
    <t>https://www.health.org.uk/reports-and-analysis/briefings/longer-hospital-stays-and-fewer-admissions</t>
  </si>
  <si>
    <t>NHS England Model Acute Pathway</t>
  </si>
  <si>
    <t>https://www.england.nhs.uk/long-read/the-model-acute-pathway-standards-for-care-of-acutely-unwell-patients-in-their-first-72-hours-in-hospital/</t>
  </si>
  <si>
    <t>Toxigenic C. difficile colonisation meta-analysis</t>
  </si>
  <si>
    <t>Colonisation with toxigenic C. difficile and risk of infection meta-analysis</t>
  </si>
  <si>
    <t>https://scholars.houstonmethodist.org/en/publications/colonization-with-toxinogenic-c-difficile-upon-hospital-admission/</t>
  </si>
  <si>
    <t>UKHSA 2023 PPS antibiotic use news summary</t>
  </si>
  <si>
    <t>UKHSA diagnostic test accuracy rapid review</t>
  </si>
  <si>
    <t>Oxford University Hospitals C. difficile lab turnaround/retest</t>
  </si>
  <si>
    <t>Leeds Teaching Hospitals C. difficile testing</t>
  </si>
  <si>
    <t>https://www.leedsth.nhs.uk/services/pathology/tests/clostridium-difficile-gdh-toxin-testing/</t>
  </si>
  <si>
    <t>NICE NG199 CDI antimicrobial prescribing</t>
  </si>
  <si>
    <t>PLoS Medicine C. difficile colonisation amplification model</t>
  </si>
  <si>
    <t>https://journals.plos.org/plosmedicine/article?id=10.1371/journal.pmed.1004712</t>
  </si>
  <si>
    <t>Cambridge systematic review of C. difficile modelling parameters</t>
  </si>
  <si>
    <t>https://www.cambridge.org/core/journals/infection-control-and-hospital-epidemiology/article/quantitative-summarization-of-hightouch-surfaces-and-epidemiological-parameters-of-clostridioides-difficile-acquisition-and-transmission-for-mathematical-modeling-a-systematic-review/CC98DD3B4DD7B5ACF7C07F9CC5476180</t>
  </si>
  <si>
    <t>NHS England CDI minimisation guidance</t>
  </si>
  <si>
    <t>https://www.england.nhs.uk/publication/minimising-clostridioides-difficile-and-gram-negative-bloodstream-infections/</t>
  </si>
  <si>
    <t>Uploaded model parameters script</t>
  </si>
  <si>
    <t>Uploaded model functions script</t>
  </si>
  <si>
    <t>Uploaded Model1_ODE_Functions.R</t>
  </si>
  <si>
    <t>Uploaded model run QMD</t>
  </si>
  <si>
    <t>Uploaded README</t>
  </si>
  <si>
    <t>Uploaded README.md</t>
  </si>
  <si>
    <t>https://www.health.org.uk/reports-and-analysis/analysis/why-are-delayed-discharges-from-hospital-increasing-seeing-the-bigger</t>
  </si>
  <si>
    <t>Health Foundation delayed discharge analysis</t>
  </si>
  <si>
    <t>Health foundation winter pressures</t>
  </si>
  <si>
    <t>https://www.health.org.uk/reports-and-analysis/analysis/did-the-nhs-experience-record-pressures-this-winter</t>
  </si>
  <si>
    <t>Health foundation drivers of increasing length of stay</t>
  </si>
  <si>
    <t>https://www.health.org.uk/reports-and-analysis/briefings/what-s-driving-increasing-length-of-stay-in-hospitals-since-2019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</si>
</sst>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CalculatorTable" displayName="BaselineCalculatorTable" ref="A1:F75">
  <tableColumns count="6">
    <tableColumn id="1" xr3:uid="{00000000-0010-0000-0000-000001000000}" name="Parameter"/>
    <tableColumn id="2" xr3:uid="{00000000-0010-0000-0000-000002000000}" name="Suggested value"/>
    <tableColumn id="3" xr3:uid="{00000000-0010-0000-0000-000003000000}" name="Unit"/>
    <tableColumn id="4" xr3:uid="{00000000-0010-0000-0000-000004000000}" name="Type"/>
    <tableColumn id="5" xr3:uid="{00000000-0010-0000-0000-000005000000}" name="Calculated from / dependencies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eterSourcingTableV2" displayName="ParameterSourcingTableV2" ref="A1:N71">
  <tableColumns count="14">
    <tableColumn id="1" xr3:uid="{00000000-0010-0000-0100-000001000000}" name="Group"/>
    <tableColumn id="2" xr3:uid="{00000000-0010-0000-0100-000002000000}" name="Parameter"/>
    <tableColumn id="3" xr3:uid="{00000000-0010-0000-0100-000003000000}" name="Input/calculated in current code"/>
    <tableColumn id="4" xr3:uid="{00000000-0010-0000-0100-000004000000}" name="Script where set or calculated"/>
    <tableColumn id="5" xr3:uid="{00000000-0010-0000-0100-000005000000}" name="Model role"/>
    <tableColumn id="6" xr3:uid="{00000000-0010-0000-0100-000006000000}" name="Current value in uploaded files"/>
    <tableColumn id="7" xr3:uid="{00000000-0010-0000-0100-000007000000}" name="Suggested central value"/>
    <tableColumn id="8" xr3:uid="{00000000-0010-0000-0100-000008000000}" name="Unit"/>
    <tableColumn id="9" xr3:uid="{00000000-0010-0000-0100-000009000000}" name="Plausible range / scenarios"/>
    <tableColumn id="10" xr3:uid="{00000000-0010-0000-0100-00000A000000}" name="Determined by / dependencies"/>
    <tableColumn id="11" xr3:uid="{00000000-0010-0000-0100-00000B000000}" name="Formula / encoding"/>
    <tableColumn id="12" xr3:uid="{00000000-0010-0000-0100-00000C000000}" name="Reasoning"/>
    <tableColumn id="13" xr3:uid="{00000000-0010-0000-0100-00000D000000}" name="Source URLs"/>
    <tableColumn id="14" xr3:uid="{00000000-0010-0000-0100-00000E000000}" name="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TableV2" displayName="SummaryTableV2" ref="A1:B10">
  <tableColumns count="2">
    <tableColumn id="1" xr3:uid="{00000000-0010-0000-0200-000001000000}" name="Item"/>
    <tableColumn id="2" xr3:uid="{00000000-0010-0000-0200-000002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V2" displayName="SourcesTableV2" ref="A1:B21">
  <tableColumns count="2">
    <tableColumn id="1" xr3:uid="{00000000-0010-0000-0300-000001000000}" name="Source"/>
    <tableColumn id="2" xr3:uid="{00000000-0010-0000-0300-000002000000}" name="URL /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www.health.org.uk/reports-and-analysis/briefings/longer-hospital-stays-and-fewer-ad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opLeftCell="A37" workbookViewId="0">
      <selection activeCell="D66" sqref="D66"/>
    </sheetView>
  </sheetViews>
  <sheetFormatPr defaultRowHeight="13.5"/>
  <cols>
    <col min="1" max="1" width="28" customWidth="1"/>
    <col min="2" max="2" width="16" customWidth="1"/>
    <col min="3" max="3" width="18" customWidth="1"/>
    <col min="4" max="4" width="28" customWidth="1"/>
    <col min="5" max="5" width="40" customWidth="1"/>
    <col min="6" max="6" width="60" customWidth="1"/>
  </cols>
  <sheetData>
    <row r="1" spans="1:6" ht="1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">
      <c r="A2" s="4" t="s">
        <v>6</v>
      </c>
      <c r="B2" s="5">
        <v>1000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>
      <c r="A3" s="4" t="s">
        <v>11</v>
      </c>
      <c r="B3" s="5">
        <v>7.5</v>
      </c>
      <c r="C3" s="4" t="s">
        <v>12</v>
      </c>
      <c r="D3" s="4" t="s">
        <v>8</v>
      </c>
      <c r="E3" s="4" t="s">
        <v>13</v>
      </c>
      <c r="F3" s="4" t="s">
        <v>14</v>
      </c>
    </row>
    <row r="4" spans="1:6">
      <c r="A4" s="4" t="s">
        <v>15</v>
      </c>
      <c r="B4" s="5">
        <v>365</v>
      </c>
      <c r="C4" s="4" t="s">
        <v>12</v>
      </c>
      <c r="D4" s="4" t="s">
        <v>16</v>
      </c>
      <c r="E4" s="4" t="s">
        <v>17</v>
      </c>
      <c r="F4" s="4" t="s">
        <v>18</v>
      </c>
    </row>
    <row r="5" spans="1:6">
      <c r="A5" s="4" t="s">
        <v>19</v>
      </c>
      <c r="B5" s="5">
        <v>0.5</v>
      </c>
      <c r="C5" s="4" t="s">
        <v>12</v>
      </c>
      <c r="D5" s="4" t="s">
        <v>16</v>
      </c>
      <c r="E5" s="4" t="s">
        <v>17</v>
      </c>
      <c r="F5" s="4" t="s">
        <v>20</v>
      </c>
    </row>
    <row r="6" spans="1:6" ht="27">
      <c r="A6" s="4" t="s">
        <v>21</v>
      </c>
      <c r="B6" s="5">
        <v>23.3</v>
      </c>
      <c r="C6" s="4" t="s">
        <v>22</v>
      </c>
      <c r="D6" s="4" t="s">
        <v>23</v>
      </c>
      <c r="E6" s="4" t="s">
        <v>24</v>
      </c>
      <c r="F6" s="4" t="s">
        <v>25</v>
      </c>
    </row>
    <row r="7" spans="1:6">
      <c r="A7" s="4" t="s">
        <v>26</v>
      </c>
      <c r="B7" s="5">
        <v>10540</v>
      </c>
      <c r="C7" s="4" t="s">
        <v>27</v>
      </c>
      <c r="D7" s="4" t="s">
        <v>23</v>
      </c>
      <c r="E7" s="4" t="s">
        <v>28</v>
      </c>
      <c r="F7" s="4" t="s">
        <v>29</v>
      </c>
    </row>
    <row r="8" spans="1:6">
      <c r="A8" s="4" t="s">
        <v>30</v>
      </c>
      <c r="B8" s="5">
        <v>36195302</v>
      </c>
      <c r="C8" s="4" t="s">
        <v>31</v>
      </c>
      <c r="D8" s="4" t="s">
        <v>23</v>
      </c>
      <c r="E8" s="4" t="s">
        <v>32</v>
      </c>
      <c r="F8" s="4" t="s">
        <v>33</v>
      </c>
    </row>
    <row r="9" spans="1:6">
      <c r="A9" s="4" t="s">
        <v>34</v>
      </c>
      <c r="B9" s="5">
        <v>8.5999999999999993E-2</v>
      </c>
      <c r="C9" s="4" t="s">
        <v>35</v>
      </c>
      <c r="D9" s="4" t="s">
        <v>8</v>
      </c>
      <c r="E9" s="4" t="s">
        <v>36</v>
      </c>
      <c r="F9" s="4" t="s">
        <v>37</v>
      </c>
    </row>
    <row r="10" spans="1:6" ht="27">
      <c r="A10" s="4" t="s">
        <v>38</v>
      </c>
      <c r="B10" s="5">
        <v>2E-3</v>
      </c>
      <c r="C10" s="4" t="s">
        <v>35</v>
      </c>
      <c r="D10" s="4" t="s">
        <v>8</v>
      </c>
      <c r="E10" s="4" t="s">
        <v>39</v>
      </c>
      <c r="F10" s="4" t="s">
        <v>40</v>
      </c>
    </row>
    <row r="11" spans="1:6">
      <c r="A11" s="4" t="s">
        <v>41</v>
      </c>
      <c r="B11" s="6" t="b">
        <v>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6">
      <c r="A12" s="4" t="s">
        <v>46</v>
      </c>
      <c r="B12" s="5">
        <v>1</v>
      </c>
      <c r="C12" s="4" t="s">
        <v>35</v>
      </c>
      <c r="D12" s="4" t="s">
        <v>43</v>
      </c>
      <c r="E12" s="4" t="s">
        <v>44</v>
      </c>
      <c r="F12" s="4" t="s">
        <v>47</v>
      </c>
    </row>
    <row r="13" spans="1:6" ht="27">
      <c r="A13" s="4" t="s">
        <v>48</v>
      </c>
      <c r="B13" s="5">
        <v>0.65</v>
      </c>
      <c r="C13" s="4" t="s">
        <v>35</v>
      </c>
      <c r="D13" s="4" t="s">
        <v>43</v>
      </c>
      <c r="E13" s="4" t="s">
        <v>44</v>
      </c>
      <c r="F13" s="4" t="s">
        <v>49</v>
      </c>
    </row>
    <row r="14" spans="1:6">
      <c r="A14" s="4" t="s">
        <v>50</v>
      </c>
      <c r="B14" s="5">
        <v>1</v>
      </c>
      <c r="C14" s="4" t="s">
        <v>12</v>
      </c>
      <c r="D14" s="4" t="s">
        <v>43</v>
      </c>
      <c r="E14" s="4" t="s">
        <v>44</v>
      </c>
      <c r="F14" s="4" t="s">
        <v>51</v>
      </c>
    </row>
    <row r="15" spans="1:6" ht="27">
      <c r="A15" s="4" t="s">
        <v>52</v>
      </c>
      <c r="B15" s="5">
        <v>5.0000000000000001E-4</v>
      </c>
      <c r="C15" s="4" t="s">
        <v>53</v>
      </c>
      <c r="D15" s="4" t="s">
        <v>54</v>
      </c>
      <c r="E15" s="4" t="s">
        <v>55</v>
      </c>
      <c r="F15" s="4" t="s">
        <v>56</v>
      </c>
    </row>
    <row r="16" spans="1:6" ht="27">
      <c r="A16" s="4" t="s">
        <v>57</v>
      </c>
      <c r="B16" s="5">
        <v>8.0000000000000002E-3</v>
      </c>
      <c r="C16" s="4" t="s">
        <v>53</v>
      </c>
      <c r="D16" s="4" t="s">
        <v>54</v>
      </c>
      <c r="E16" s="4" t="s">
        <v>55</v>
      </c>
      <c r="F16" s="4" t="s">
        <v>58</v>
      </c>
    </row>
    <row r="17" spans="1:6" ht="27">
      <c r="A17" s="4" t="s">
        <v>59</v>
      </c>
      <c r="B17" s="5">
        <v>0.04</v>
      </c>
      <c r="C17" s="4" t="s">
        <v>53</v>
      </c>
      <c r="D17" s="4" t="s">
        <v>54</v>
      </c>
      <c r="E17" s="4" t="s">
        <v>55</v>
      </c>
      <c r="F17" s="4" t="s">
        <v>60</v>
      </c>
    </row>
    <row r="18" spans="1:6" ht="27">
      <c r="A18" s="4" t="s">
        <v>61</v>
      </c>
      <c r="B18" s="5">
        <v>4.0000000000000001E-3</v>
      </c>
      <c r="C18" s="4" t="s">
        <v>53</v>
      </c>
      <c r="D18" s="4" t="s">
        <v>54</v>
      </c>
      <c r="E18" s="4" t="s">
        <v>55</v>
      </c>
      <c r="F18" s="4" t="s">
        <v>62</v>
      </c>
    </row>
    <row r="19" spans="1:6" ht="27">
      <c r="A19" s="4" t="s">
        <v>63</v>
      </c>
      <c r="B19" s="5">
        <v>6.5500000000000003E-2</v>
      </c>
      <c r="C19" s="4" t="s">
        <v>64</v>
      </c>
      <c r="D19" s="4" t="s">
        <v>54</v>
      </c>
      <c r="E19" s="4" t="s">
        <v>65</v>
      </c>
      <c r="F19" s="4" t="s">
        <v>66</v>
      </c>
    </row>
    <row r="20" spans="1:6">
      <c r="A20" s="4" t="s">
        <v>67</v>
      </c>
      <c r="B20" s="5">
        <v>0.373</v>
      </c>
      <c r="C20" s="4" t="s">
        <v>35</v>
      </c>
      <c r="D20" s="4" t="s">
        <v>8</v>
      </c>
      <c r="E20" s="4" t="s">
        <v>65</v>
      </c>
      <c r="F20" s="4" t="s">
        <v>68</v>
      </c>
    </row>
    <row r="21" spans="1:6" ht="27">
      <c r="A21" s="4" t="s">
        <v>69</v>
      </c>
      <c r="B21" s="5">
        <v>2</v>
      </c>
      <c r="C21" s="4" t="s">
        <v>70</v>
      </c>
      <c r="D21" s="4" t="s">
        <v>8</v>
      </c>
      <c r="E21" s="4" t="s">
        <v>65</v>
      </c>
      <c r="F21" s="4" t="s">
        <v>71</v>
      </c>
    </row>
    <row r="22" spans="1:6" ht="27">
      <c r="A22" s="4" t="s">
        <v>72</v>
      </c>
      <c r="B22" s="5">
        <v>30</v>
      </c>
      <c r="C22" s="4" t="s">
        <v>12</v>
      </c>
      <c r="D22" s="4" t="s">
        <v>8</v>
      </c>
      <c r="E22" s="4" t="s">
        <v>65</v>
      </c>
      <c r="F22" s="4" t="s">
        <v>73</v>
      </c>
    </row>
    <row r="23" spans="1:6">
      <c r="A23" s="4" t="s">
        <v>74</v>
      </c>
      <c r="B23" s="5">
        <v>0.05</v>
      </c>
      <c r="C23" s="4" t="s">
        <v>35</v>
      </c>
      <c r="D23" s="4" t="s">
        <v>8</v>
      </c>
      <c r="E23" s="4" t="s">
        <v>75</v>
      </c>
      <c r="F23" s="4" t="s">
        <v>76</v>
      </c>
    </row>
    <row r="24" spans="1:6">
      <c r="A24" s="4" t="s">
        <v>77</v>
      </c>
      <c r="B24" s="5">
        <v>5</v>
      </c>
      <c r="C24" s="4" t="s">
        <v>12</v>
      </c>
      <c r="D24" s="4" t="s">
        <v>8</v>
      </c>
      <c r="E24" s="4" t="s">
        <v>75</v>
      </c>
      <c r="F24" s="4" t="s">
        <v>78</v>
      </c>
    </row>
    <row r="25" spans="1:6" ht="27">
      <c r="A25" s="4" t="s">
        <v>79</v>
      </c>
      <c r="B25" s="5">
        <v>7</v>
      </c>
      <c r="C25" s="4" t="s">
        <v>12</v>
      </c>
      <c r="D25" s="4" t="s">
        <v>8</v>
      </c>
      <c r="E25" s="4" t="s">
        <v>55</v>
      </c>
      <c r="F25" s="4" t="s">
        <v>80</v>
      </c>
    </row>
    <row r="26" spans="1:6" ht="27">
      <c r="A26" s="4" t="s">
        <v>81</v>
      </c>
      <c r="B26" s="5">
        <v>7</v>
      </c>
      <c r="C26" s="4" t="s">
        <v>12</v>
      </c>
      <c r="D26" s="4" t="s">
        <v>8</v>
      </c>
      <c r="E26" s="4" t="s">
        <v>55</v>
      </c>
      <c r="F26" s="4" t="s">
        <v>82</v>
      </c>
    </row>
    <row r="27" spans="1:6">
      <c r="A27" s="4" t="s">
        <v>83</v>
      </c>
      <c r="B27" s="5">
        <v>14</v>
      </c>
      <c r="C27" s="4" t="s">
        <v>12</v>
      </c>
      <c r="D27" s="4" t="s">
        <v>8</v>
      </c>
      <c r="E27" s="4" t="s">
        <v>55</v>
      </c>
      <c r="F27" s="4" t="s">
        <v>84</v>
      </c>
    </row>
    <row r="28" spans="1:6" ht="27">
      <c r="A28" s="4" t="s">
        <v>85</v>
      </c>
      <c r="B28" s="5">
        <v>14</v>
      </c>
      <c r="C28" s="4" t="s">
        <v>12</v>
      </c>
      <c r="D28" s="4" t="s">
        <v>8</v>
      </c>
      <c r="E28" s="4" t="s">
        <v>55</v>
      </c>
      <c r="F28" s="4" t="s">
        <v>86</v>
      </c>
    </row>
    <row r="29" spans="1:6" ht="27">
      <c r="A29" s="4" t="s">
        <v>87</v>
      </c>
      <c r="B29" s="5">
        <v>14</v>
      </c>
      <c r="C29" s="4" t="s">
        <v>12</v>
      </c>
      <c r="D29" s="4" t="s">
        <v>8</v>
      </c>
      <c r="E29" s="4" t="s">
        <v>55</v>
      </c>
      <c r="F29" s="4" t="s">
        <v>88</v>
      </c>
    </row>
    <row r="30" spans="1:6">
      <c r="A30" s="4" t="s">
        <v>89</v>
      </c>
      <c r="B30" s="5">
        <v>0.5</v>
      </c>
      <c r="C30" s="4" t="s">
        <v>12</v>
      </c>
      <c r="D30" s="4" t="s">
        <v>8</v>
      </c>
      <c r="E30" s="4" t="s">
        <v>55</v>
      </c>
      <c r="F30" s="4" t="s">
        <v>90</v>
      </c>
    </row>
    <row r="31" spans="1:6">
      <c r="A31" s="4" t="s">
        <v>91</v>
      </c>
      <c r="B31" s="5">
        <v>2</v>
      </c>
      <c r="C31" s="4" t="s">
        <v>12</v>
      </c>
      <c r="D31" s="4" t="s">
        <v>8</v>
      </c>
      <c r="E31" s="4" t="s">
        <v>55</v>
      </c>
      <c r="F31" s="4" t="s">
        <v>92</v>
      </c>
    </row>
    <row r="32" spans="1:6">
      <c r="A32" s="4" t="s">
        <v>93</v>
      </c>
      <c r="B32" s="5">
        <v>7</v>
      </c>
      <c r="C32" s="4" t="s">
        <v>12</v>
      </c>
      <c r="D32" s="4" t="s">
        <v>8</v>
      </c>
      <c r="E32" s="4" t="s">
        <v>55</v>
      </c>
      <c r="F32" s="4" t="s">
        <v>94</v>
      </c>
    </row>
    <row r="33" spans="1:6">
      <c r="A33" s="4" t="s">
        <v>95</v>
      </c>
      <c r="B33" s="5">
        <v>0.8</v>
      </c>
      <c r="C33" s="4" t="s">
        <v>35</v>
      </c>
      <c r="D33" s="4" t="s">
        <v>8</v>
      </c>
      <c r="E33" s="4" t="s">
        <v>55</v>
      </c>
      <c r="F33" s="4" t="s">
        <v>96</v>
      </c>
    </row>
    <row r="34" spans="1:6">
      <c r="A34" s="4" t="s">
        <v>97</v>
      </c>
      <c r="B34" s="5">
        <v>1E-3</v>
      </c>
      <c r="C34" s="4" t="s">
        <v>98</v>
      </c>
      <c r="D34" s="4" t="s">
        <v>8</v>
      </c>
      <c r="E34" s="4" t="s">
        <v>55</v>
      </c>
      <c r="F34" s="4" t="s">
        <v>99</v>
      </c>
    </row>
    <row r="35" spans="1:6" ht="27">
      <c r="A35" s="4" t="s">
        <v>100</v>
      </c>
      <c r="B35" s="5">
        <v>25</v>
      </c>
      <c r="C35" s="4" t="s">
        <v>70</v>
      </c>
      <c r="D35" s="4" t="s">
        <v>54</v>
      </c>
      <c r="E35" s="4" t="s">
        <v>55</v>
      </c>
      <c r="F35" s="4" t="s">
        <v>101</v>
      </c>
    </row>
    <row r="36" spans="1:6" ht="27">
      <c r="A36" s="4" t="s">
        <v>102</v>
      </c>
      <c r="B36" s="5">
        <v>25</v>
      </c>
      <c r="C36" s="4" t="s">
        <v>70</v>
      </c>
      <c r="D36" s="4" t="s">
        <v>54</v>
      </c>
      <c r="E36" s="4" t="s">
        <v>55</v>
      </c>
      <c r="F36" s="4" t="s">
        <v>103</v>
      </c>
    </row>
    <row r="37" spans="1:6">
      <c r="A37" s="4" t="s">
        <v>104</v>
      </c>
      <c r="B37" s="5">
        <f>$B$6/100000*$B$2*365</f>
        <v>85.044999999999987</v>
      </c>
      <c r="C37" s="4" t="s">
        <v>27</v>
      </c>
      <c r="D37" s="4" t="s">
        <v>105</v>
      </c>
      <c r="E37" s="4" t="s">
        <v>106</v>
      </c>
      <c r="F37" s="4" t="s">
        <v>107</v>
      </c>
    </row>
    <row r="38" spans="1:6">
      <c r="A38" s="4" t="s">
        <v>108</v>
      </c>
      <c r="B38" s="5">
        <f>$B$37/365</f>
        <v>0.23299999999999996</v>
      </c>
      <c r="C38" s="4" t="s">
        <v>109</v>
      </c>
      <c r="D38" s="4" t="s">
        <v>105</v>
      </c>
      <c r="E38" s="4" t="s">
        <v>104</v>
      </c>
      <c r="F38" s="4" t="s">
        <v>110</v>
      </c>
    </row>
    <row r="39" spans="1:6" ht="27">
      <c r="A39" s="4" t="s">
        <v>111</v>
      </c>
      <c r="B39" s="5">
        <f>$B$7/$B$8*$B$2*365</f>
        <v>106.28727451977055</v>
      </c>
      <c r="C39" s="4" t="s">
        <v>27</v>
      </c>
      <c r="D39" s="4" t="s">
        <v>105</v>
      </c>
      <c r="E39" s="4" t="s">
        <v>112</v>
      </c>
      <c r="F39" s="4" t="s">
        <v>113</v>
      </c>
    </row>
    <row r="40" spans="1:6">
      <c r="A40" s="4" t="s">
        <v>114</v>
      </c>
      <c r="B40" s="5">
        <f>$B$39/($B$41*365)</f>
        <v>2.1839850928719973E-3</v>
      </c>
      <c r="C40" s="4" t="s">
        <v>35</v>
      </c>
      <c r="D40" s="4" t="s">
        <v>105</v>
      </c>
      <c r="E40" s="4" t="s">
        <v>115</v>
      </c>
      <c r="F40" s="4" t="s">
        <v>116</v>
      </c>
    </row>
    <row r="41" spans="1:6">
      <c r="A41" s="4" t="s">
        <v>117</v>
      </c>
      <c r="B41" s="5">
        <f>$B$2/$B$3</f>
        <v>133.33333333333334</v>
      </c>
      <c r="C41" s="4" t="s">
        <v>118</v>
      </c>
      <c r="D41" s="4" t="s">
        <v>105</v>
      </c>
      <c r="E41" s="4" t="s">
        <v>119</v>
      </c>
      <c r="F41" s="4" t="s">
        <v>120</v>
      </c>
    </row>
    <row r="42" spans="1:6">
      <c r="A42" s="4" t="s">
        <v>121</v>
      </c>
      <c r="B42" s="5">
        <f>$B$41*(1-$B$9-$B$10)</f>
        <v>121.60000000000001</v>
      </c>
      <c r="C42" s="4" t="s">
        <v>122</v>
      </c>
      <c r="D42" s="4" t="s">
        <v>123</v>
      </c>
      <c r="E42" s="4" t="s">
        <v>124</v>
      </c>
      <c r="F42" s="4" t="s">
        <v>125</v>
      </c>
    </row>
    <row r="43" spans="1:6">
      <c r="A43" s="4" t="s">
        <v>126</v>
      </c>
      <c r="B43" s="5">
        <f>$B$41*$B$9</f>
        <v>11.466666666666667</v>
      </c>
      <c r="C43" s="4" t="s">
        <v>122</v>
      </c>
      <c r="D43" s="4" t="s">
        <v>123</v>
      </c>
      <c r="E43" s="4" t="s">
        <v>127</v>
      </c>
      <c r="F43" s="4" t="s">
        <v>128</v>
      </c>
    </row>
    <row r="44" spans="1:6">
      <c r="A44" s="4" t="s">
        <v>129</v>
      </c>
      <c r="B44" s="5">
        <f>$B$41*$B$10</f>
        <v>0.26666666666666672</v>
      </c>
      <c r="C44" s="4" t="s">
        <v>122</v>
      </c>
      <c r="D44" s="4" t="s">
        <v>123</v>
      </c>
      <c r="E44" s="4" t="s">
        <v>130</v>
      </c>
      <c r="F44" s="4" t="s">
        <v>131</v>
      </c>
    </row>
    <row r="45" spans="1:6">
      <c r="A45" s="4" t="s">
        <v>132</v>
      </c>
      <c r="B45" s="5">
        <f>$B$17</f>
        <v>0.04</v>
      </c>
      <c r="C45" s="4" t="s">
        <v>53</v>
      </c>
      <c r="D45" s="4" t="s">
        <v>105</v>
      </c>
      <c r="E45" s="4" t="s">
        <v>59</v>
      </c>
      <c r="F45" s="4" t="s">
        <v>133</v>
      </c>
    </row>
    <row r="46" spans="1:6" ht="27">
      <c r="A46" s="4" t="s">
        <v>134</v>
      </c>
      <c r="B46" s="5">
        <f>IF($B$11,$B$18,$B$17)</f>
        <v>4.0000000000000001E-3</v>
      </c>
      <c r="C46" s="4" t="s">
        <v>53</v>
      </c>
      <c r="D46" s="4" t="s">
        <v>105</v>
      </c>
      <c r="E46" s="4" t="s">
        <v>135</v>
      </c>
      <c r="F46" s="4" t="s">
        <v>136</v>
      </c>
    </row>
    <row r="47" spans="1:6" ht="27">
      <c r="A47" s="4" t="s">
        <v>137</v>
      </c>
      <c r="B47" s="5">
        <f>$B$19*((1-$B$20)+($B$20*$B$21))/$B$22</f>
        <v>2.9977166666666664E-3</v>
      </c>
      <c r="C47" s="4" t="s">
        <v>53</v>
      </c>
      <c r="D47" s="4" t="s">
        <v>105</v>
      </c>
      <c r="E47" s="4" t="s">
        <v>138</v>
      </c>
      <c r="F47" s="4" t="s">
        <v>139</v>
      </c>
    </row>
    <row r="48" spans="1:6">
      <c r="A48" s="4" t="s">
        <v>140</v>
      </c>
      <c r="B48" s="5">
        <f>$B$23/$B$24</f>
        <v>0.01</v>
      </c>
      <c r="C48" s="4" t="s">
        <v>53</v>
      </c>
      <c r="D48" s="4" t="s">
        <v>105</v>
      </c>
      <c r="E48" s="4" t="s">
        <v>141</v>
      </c>
      <c r="F48" s="4" t="s">
        <v>142</v>
      </c>
    </row>
    <row r="49" spans="1:6">
      <c r="A49" s="4" t="s">
        <v>143</v>
      </c>
      <c r="B49" s="5">
        <f>$B$33/($B$29+$B$30)</f>
        <v>5.5172413793103454E-2</v>
      </c>
      <c r="C49" s="4" t="s">
        <v>53</v>
      </c>
      <c r="D49" s="4" t="s">
        <v>105</v>
      </c>
      <c r="E49" s="4" t="s">
        <v>144</v>
      </c>
      <c r="F49" s="4" t="s">
        <v>145</v>
      </c>
    </row>
    <row r="50" spans="1:6">
      <c r="A50" s="4" t="s">
        <v>146</v>
      </c>
      <c r="B50" s="5">
        <f>1/($B$25+$B$30)</f>
        <v>0.13333333333333333</v>
      </c>
      <c r="C50" s="4" t="s">
        <v>53</v>
      </c>
      <c r="D50" s="4" t="s">
        <v>105</v>
      </c>
      <c r="E50" s="4" t="s">
        <v>147</v>
      </c>
      <c r="F50" s="4" t="s">
        <v>148</v>
      </c>
    </row>
    <row r="51" spans="1:6">
      <c r="A51" s="4" t="s">
        <v>149</v>
      </c>
      <c r="B51" s="5">
        <f>1/($B$26+$B$30)</f>
        <v>0.13333333333333333</v>
      </c>
      <c r="C51" s="4" t="s">
        <v>53</v>
      </c>
      <c r="D51" s="4" t="s">
        <v>105</v>
      </c>
      <c r="E51" s="4" t="s">
        <v>150</v>
      </c>
      <c r="F51" s="4" t="s">
        <v>151</v>
      </c>
    </row>
    <row r="52" spans="1:6">
      <c r="A52" s="4" t="s">
        <v>152</v>
      </c>
      <c r="B52" s="5">
        <f>1/($B$27+$B$30)</f>
        <v>6.8965517241379309E-2</v>
      </c>
      <c r="C52" s="4" t="s">
        <v>53</v>
      </c>
      <c r="D52" s="4" t="s">
        <v>105</v>
      </c>
      <c r="E52" s="4" t="s">
        <v>153</v>
      </c>
      <c r="F52" s="4" t="s">
        <v>154</v>
      </c>
    </row>
    <row r="53" spans="1:6">
      <c r="A53" s="4" t="s">
        <v>155</v>
      </c>
      <c r="B53" s="5">
        <f>1/($B$28+$B$30)</f>
        <v>6.8965517241379309E-2</v>
      </c>
      <c r="C53" s="4" t="s">
        <v>53</v>
      </c>
      <c r="D53" s="4" t="s">
        <v>105</v>
      </c>
      <c r="E53" s="4" t="s">
        <v>156</v>
      </c>
      <c r="F53" s="4" t="s">
        <v>157</v>
      </c>
    </row>
    <row r="54" spans="1:6">
      <c r="A54" s="4" t="s">
        <v>158</v>
      </c>
      <c r="B54" s="5">
        <f>(1-$B$33)/($B$29+$B$30)</f>
        <v>1.3793103448275858E-2</v>
      </c>
      <c r="C54" s="4" t="s">
        <v>53</v>
      </c>
      <c r="D54" s="4" t="s">
        <v>105</v>
      </c>
      <c r="E54" s="4" t="s">
        <v>144</v>
      </c>
      <c r="F54" s="4" t="s">
        <v>159</v>
      </c>
    </row>
    <row r="55" spans="1:6">
      <c r="A55" s="4" t="s">
        <v>160</v>
      </c>
      <c r="B55" s="5">
        <f>-LN(1-$B$34)/$B$25</f>
        <v>1.4292861908336206E-4</v>
      </c>
      <c r="C55" s="4" t="s">
        <v>53</v>
      </c>
      <c r="D55" s="4" t="s">
        <v>105</v>
      </c>
      <c r="E55" s="4" t="s">
        <v>161</v>
      </c>
      <c r="F55" s="4" t="s">
        <v>162</v>
      </c>
    </row>
    <row r="56" spans="1:6">
      <c r="A56" s="4" t="s">
        <v>163</v>
      </c>
      <c r="B56" s="5">
        <f>$B$55</f>
        <v>1.4292861908336206E-4</v>
      </c>
      <c r="C56" s="4" t="s">
        <v>53</v>
      </c>
      <c r="D56" s="4" t="s">
        <v>105</v>
      </c>
      <c r="E56" s="4" t="s">
        <v>160</v>
      </c>
      <c r="F56" s="4" t="s">
        <v>164</v>
      </c>
    </row>
    <row r="57" spans="1:6">
      <c r="A57" s="4" t="s">
        <v>165</v>
      </c>
      <c r="B57" s="5">
        <f>$B$35*$B$55</f>
        <v>3.5732154770840513E-3</v>
      </c>
      <c r="C57" s="4" t="s">
        <v>53</v>
      </c>
      <c r="D57" s="4" t="s">
        <v>105</v>
      </c>
      <c r="E57" s="4" t="s">
        <v>166</v>
      </c>
      <c r="F57" s="4" t="s">
        <v>167</v>
      </c>
    </row>
    <row r="58" spans="1:6">
      <c r="A58" s="4" t="s">
        <v>168</v>
      </c>
      <c r="B58" s="5">
        <f>$B$57</f>
        <v>3.5732154770840513E-3</v>
      </c>
      <c r="C58" s="4" t="s">
        <v>53</v>
      </c>
      <c r="D58" s="4" t="s">
        <v>105</v>
      </c>
      <c r="E58" s="4" t="s">
        <v>165</v>
      </c>
      <c r="F58" s="4" t="s">
        <v>169</v>
      </c>
    </row>
    <row r="59" spans="1:6">
      <c r="A59" s="4" t="s">
        <v>170</v>
      </c>
      <c r="B59" s="5">
        <f>$B$57</f>
        <v>3.5732154770840513E-3</v>
      </c>
      <c r="C59" s="4" t="s">
        <v>53</v>
      </c>
      <c r="D59" s="4" t="s">
        <v>105</v>
      </c>
      <c r="E59" s="4" t="s">
        <v>165</v>
      </c>
      <c r="F59" s="4" t="s">
        <v>171</v>
      </c>
    </row>
    <row r="60" spans="1:6">
      <c r="A60" s="4" t="s">
        <v>172</v>
      </c>
      <c r="B60" s="5">
        <f>$B$36*$B$55</f>
        <v>3.5732154770840513E-3</v>
      </c>
      <c r="C60" s="4" t="s">
        <v>53</v>
      </c>
      <c r="D60" s="4" t="s">
        <v>105</v>
      </c>
      <c r="E60" s="4" t="s">
        <v>173</v>
      </c>
      <c r="F60" s="4" t="s">
        <v>174</v>
      </c>
    </row>
    <row r="61" spans="1:6" ht="27">
      <c r="A61" s="4" t="s">
        <v>175</v>
      </c>
      <c r="B61" s="5">
        <f>IF($B$11,$B$12/($B$31+$B$30),$B$12/$B$31)</f>
        <v>0.4</v>
      </c>
      <c r="C61" s="4" t="s">
        <v>53</v>
      </c>
      <c r="D61" s="4" t="s">
        <v>105</v>
      </c>
      <c r="E61" s="4" t="s">
        <v>176</v>
      </c>
      <c r="F61" s="4" t="s">
        <v>177</v>
      </c>
    </row>
    <row r="62" spans="1:6">
      <c r="A62" s="4" t="s">
        <v>178</v>
      </c>
      <c r="B62" s="5">
        <f>(1-$B$12)/$B$31</f>
        <v>0</v>
      </c>
      <c r="C62" s="4" t="s">
        <v>53</v>
      </c>
      <c r="D62" s="4" t="s">
        <v>105</v>
      </c>
      <c r="E62" s="4" t="s">
        <v>179</v>
      </c>
      <c r="F62" s="4" t="s">
        <v>180</v>
      </c>
    </row>
    <row r="63" spans="1:6" ht="27">
      <c r="A63" s="4" t="s">
        <v>181</v>
      </c>
      <c r="B63" s="5">
        <f>IF($B$11,$B$13/$B$14,$B$13/($B$14+$B$30))</f>
        <v>0.65</v>
      </c>
      <c r="C63" s="4" t="s">
        <v>53</v>
      </c>
      <c r="D63" s="4" t="s">
        <v>105</v>
      </c>
      <c r="E63" s="4" t="s">
        <v>182</v>
      </c>
      <c r="F63" s="4" t="s">
        <v>183</v>
      </c>
    </row>
    <row r="64" spans="1:6" ht="27">
      <c r="A64" s="4" t="s">
        <v>184</v>
      </c>
      <c r="B64" s="5">
        <f>IF($B$11,(1-$B$13)/($B$14+$B$30),(1-$B$13)/$B$14)</f>
        <v>0.23333333333333331</v>
      </c>
      <c r="C64" s="4" t="s">
        <v>53</v>
      </c>
      <c r="D64" s="4" t="s">
        <v>105</v>
      </c>
      <c r="E64" s="4" t="s">
        <v>182</v>
      </c>
      <c r="F64" s="4" t="s">
        <v>185</v>
      </c>
    </row>
    <row r="65" spans="1:6" ht="27">
      <c r="A65" s="4" t="s">
        <v>186</v>
      </c>
      <c r="B65" s="5">
        <f>IF($B$11,1/($B$32+$B$30),1/$B$32)</f>
        <v>0.13333333333333333</v>
      </c>
      <c r="C65" s="4" t="s">
        <v>53</v>
      </c>
      <c r="D65" s="4" t="s">
        <v>105</v>
      </c>
      <c r="E65" s="4" t="s">
        <v>187</v>
      </c>
      <c r="F65" s="4" t="s">
        <v>188</v>
      </c>
    </row>
    <row r="66" spans="1:6">
      <c r="A66" s="4" t="s">
        <v>189</v>
      </c>
      <c r="B66" s="5">
        <f>$B$2*$B$9</f>
        <v>86</v>
      </c>
      <c r="C66" s="4" t="s">
        <v>190</v>
      </c>
      <c r="D66" s="4" t="s">
        <v>191</v>
      </c>
      <c r="E66" s="4" t="s">
        <v>192</v>
      </c>
      <c r="F66" s="4" t="s">
        <v>193</v>
      </c>
    </row>
    <row r="67" spans="1:6">
      <c r="A67" s="4" t="s">
        <v>194</v>
      </c>
      <c r="B67" s="5">
        <f>$B$38/$B$61</f>
        <v>0.58249999999999991</v>
      </c>
      <c r="C67" s="4" t="s">
        <v>190</v>
      </c>
      <c r="D67" s="4" t="s">
        <v>191</v>
      </c>
      <c r="E67" s="4" t="s">
        <v>195</v>
      </c>
      <c r="F67" s="4" t="s">
        <v>196</v>
      </c>
    </row>
    <row r="68" spans="1:6">
      <c r="A68" s="4" t="s">
        <v>197</v>
      </c>
      <c r="B68" s="5">
        <f>$B$38/$B$63</f>
        <v>0.35846153846153839</v>
      </c>
      <c r="C68" s="4" t="s">
        <v>190</v>
      </c>
      <c r="D68" s="4" t="s">
        <v>191</v>
      </c>
      <c r="E68" s="4" t="s">
        <v>198</v>
      </c>
      <c r="F68" s="4" t="s">
        <v>199</v>
      </c>
    </row>
    <row r="69" spans="1:6" ht="27">
      <c r="A69" s="4" t="s">
        <v>200</v>
      </c>
      <c r="B69" s="5">
        <f>($B$64*$B$68)/($B$65+$B$53+$B$59)</f>
        <v>0.40627670982804354</v>
      </c>
      <c r="C69" s="4" t="s">
        <v>190</v>
      </c>
      <c r="D69" s="4" t="s">
        <v>191</v>
      </c>
      <c r="E69" s="4" t="s">
        <v>201</v>
      </c>
      <c r="F69" s="4" t="s">
        <v>202</v>
      </c>
    </row>
    <row r="70" spans="1:6" ht="27">
      <c r="A70" s="4" t="s">
        <v>203</v>
      </c>
      <c r="B70" s="5">
        <f>$B$38/($B$49+$B$54+$B$60)</f>
        <v>3.2120770692854164</v>
      </c>
      <c r="C70" s="4" t="s">
        <v>190</v>
      </c>
      <c r="D70" s="4" t="s">
        <v>191</v>
      </c>
      <c r="E70" s="4" t="s">
        <v>204</v>
      </c>
      <c r="F70" s="4" t="s">
        <v>205</v>
      </c>
    </row>
    <row r="71" spans="1:6">
      <c r="A71" s="4" t="s">
        <v>206</v>
      </c>
      <c r="B71" s="5">
        <v>0</v>
      </c>
      <c r="C71" s="4" t="s">
        <v>207</v>
      </c>
      <c r="D71" s="4" t="s">
        <v>8</v>
      </c>
      <c r="E71" s="4" t="s">
        <v>208</v>
      </c>
      <c r="F71" s="4" t="s">
        <v>209</v>
      </c>
    </row>
    <row r="72" spans="1:6">
      <c r="A72" s="4" t="s">
        <v>210</v>
      </c>
      <c r="B72" s="5">
        <f>$B$2-$B$66-$B$67-$B$68-$B$69-$B$70</f>
        <v>909.44068468242506</v>
      </c>
      <c r="C72" s="4" t="s">
        <v>190</v>
      </c>
      <c r="D72" s="4" t="s">
        <v>191</v>
      </c>
      <c r="E72" s="4" t="s">
        <v>211</v>
      </c>
      <c r="F72" s="4" t="s">
        <v>212</v>
      </c>
    </row>
    <row r="73" spans="1:6" ht="27">
      <c r="A73" s="4" t="s">
        <v>213</v>
      </c>
      <c r="B73" s="5">
        <f>$B$15+(($B$16*$B$66+$B$17*$B$67+$B$46*$B$68+$B$45*$B$69+$B$18*$B$70)/$B$2)</f>
        <v>1.2418332228241096E-3</v>
      </c>
      <c r="C73" s="4" t="s">
        <v>53</v>
      </c>
      <c r="D73" s="4" t="s">
        <v>123</v>
      </c>
      <c r="E73" s="4" t="s">
        <v>214</v>
      </c>
      <c r="F73" s="4" t="s">
        <v>215</v>
      </c>
    </row>
    <row r="74" spans="1:6">
      <c r="A74" s="4" t="s">
        <v>216</v>
      </c>
      <c r="B74" s="5">
        <f>$B$73*$B$72</f>
        <v>1.1293736564265406</v>
      </c>
      <c r="C74" s="4" t="s">
        <v>122</v>
      </c>
      <c r="D74" s="4" t="s">
        <v>123</v>
      </c>
      <c r="E74" s="4" t="s">
        <v>217</v>
      </c>
      <c r="F74" s="4" t="s">
        <v>218</v>
      </c>
    </row>
    <row r="75" spans="1:6" ht="27">
      <c r="A75" s="4" t="s">
        <v>219</v>
      </c>
      <c r="B75" s="5">
        <f>$B$47*$B$66</f>
        <v>0.25780363333333334</v>
      </c>
      <c r="C75" s="4" t="s">
        <v>122</v>
      </c>
      <c r="D75" s="4" t="s">
        <v>123</v>
      </c>
      <c r="E75" s="4" t="s">
        <v>220</v>
      </c>
      <c r="F75" s="4" t="s">
        <v>221</v>
      </c>
    </row>
  </sheetData>
  <conditionalFormatting sqref="D2:D75">
    <cfRule type="expression" dxfId="2" priority="1">
      <formula>ISNUMBER(SEARCH("Calculated",D2))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topLeftCell="A28" workbookViewId="0"/>
  </sheetViews>
  <sheetFormatPr defaultRowHeight="13.5"/>
  <cols>
    <col min="1" max="1" width="20" customWidth="1"/>
    <col min="2" max="2" width="22" customWidth="1"/>
    <col min="3" max="3" width="30" customWidth="1"/>
    <col min="4" max="5" width="36" customWidth="1"/>
    <col min="6" max="6" width="24" customWidth="1"/>
    <col min="7" max="7" width="18" customWidth="1"/>
    <col min="8" max="8" width="14" customWidth="1"/>
    <col min="9" max="9" width="32" customWidth="1"/>
    <col min="10" max="10" width="42" customWidth="1"/>
    <col min="11" max="11" width="48" customWidth="1"/>
    <col min="12" max="12" width="60" customWidth="1"/>
    <col min="13" max="13" width="54" customWidth="1"/>
    <col min="14" max="14" width="18" customWidth="1"/>
  </cols>
  <sheetData>
    <row r="1" spans="1:14" ht="19.05" customHeight="1">
      <c r="A1" s="2" t="s">
        <v>222</v>
      </c>
      <c r="B1" s="2" t="s">
        <v>0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</v>
      </c>
      <c r="I1" s="2" t="s">
        <v>228</v>
      </c>
      <c r="J1" s="2" t="s">
        <v>229</v>
      </c>
      <c r="K1" s="2" t="s">
        <v>230</v>
      </c>
      <c r="L1" s="2" t="s">
        <v>231</v>
      </c>
      <c r="M1" s="2" t="s">
        <v>232</v>
      </c>
      <c r="N1" s="2" t="s">
        <v>233</v>
      </c>
    </row>
    <row r="2" spans="1:14" ht="94.5">
      <c r="A2" s="4" t="s">
        <v>234</v>
      </c>
      <c r="B2" s="4" t="s">
        <v>6</v>
      </c>
      <c r="C2" s="4" t="s">
        <v>235</v>
      </c>
      <c r="D2" s="4" t="s">
        <v>236</v>
      </c>
      <c r="E2" s="4" t="s">
        <v>237</v>
      </c>
      <c r="F2" s="4" t="s">
        <v>238</v>
      </c>
      <c r="G2" s="5">
        <f>'Baseline calculator'!$B$2</f>
        <v>1000</v>
      </c>
      <c r="H2" s="4" t="s">
        <v>190</v>
      </c>
      <c r="I2" s="4" t="s">
        <v>239</v>
      </c>
      <c r="J2" s="4" t="s">
        <v>9</v>
      </c>
      <c r="K2" s="4" t="s">
        <v>240</v>
      </c>
      <c r="L2" s="4" t="s">
        <v>241</v>
      </c>
      <c r="M2" s="4" t="s">
        <v>242</v>
      </c>
      <c r="N2" s="4" t="s">
        <v>243</v>
      </c>
    </row>
    <row r="3" spans="1:14" ht="27">
      <c r="A3" s="4" t="s">
        <v>234</v>
      </c>
      <c r="B3" s="4" t="s">
        <v>15</v>
      </c>
      <c r="C3" s="4" t="s">
        <v>8</v>
      </c>
      <c r="D3" s="4" t="s">
        <v>244</v>
      </c>
      <c r="E3" s="4" t="s">
        <v>245</v>
      </c>
      <c r="F3" s="4" t="s">
        <v>246</v>
      </c>
      <c r="G3" s="5">
        <f>'Baseline calculator'!$B$4</f>
        <v>365</v>
      </c>
      <c r="H3" s="4" t="s">
        <v>12</v>
      </c>
      <c r="I3" s="4" t="s">
        <v>247</v>
      </c>
      <c r="J3" s="4" t="s">
        <v>248</v>
      </c>
      <c r="K3" s="4" t="s">
        <v>249</v>
      </c>
      <c r="L3" s="4" t="s">
        <v>250</v>
      </c>
      <c r="M3" s="4" t="s">
        <v>251</v>
      </c>
      <c r="N3" s="4" t="s">
        <v>252</v>
      </c>
    </row>
    <row r="4" spans="1:14" ht="27">
      <c r="A4" s="4" t="s">
        <v>234</v>
      </c>
      <c r="B4" s="4" t="s">
        <v>19</v>
      </c>
      <c r="C4" s="4" t="s">
        <v>8</v>
      </c>
      <c r="D4" s="4" t="s">
        <v>244</v>
      </c>
      <c r="E4" s="4" t="s">
        <v>253</v>
      </c>
      <c r="F4" s="4" t="s">
        <v>254</v>
      </c>
      <c r="G4" s="5">
        <f>'Baseline calculator'!$B$5</f>
        <v>0.5</v>
      </c>
      <c r="H4" s="4" t="s">
        <v>12</v>
      </c>
      <c r="I4" s="4" t="s">
        <v>255</v>
      </c>
      <c r="J4" s="4" t="s">
        <v>248</v>
      </c>
      <c r="K4" s="4" t="s">
        <v>256</v>
      </c>
      <c r="L4" s="4" t="s">
        <v>257</v>
      </c>
      <c r="M4" s="4" t="s">
        <v>251</v>
      </c>
      <c r="N4" s="4" t="s">
        <v>252</v>
      </c>
    </row>
    <row r="5" spans="1:14" ht="94.5">
      <c r="A5" s="4" t="s">
        <v>258</v>
      </c>
      <c r="B5" s="4" t="s">
        <v>210</v>
      </c>
      <c r="C5" s="4" t="s">
        <v>259</v>
      </c>
      <c r="D5" s="4" t="s">
        <v>260</v>
      </c>
      <c r="E5" s="4" t="s">
        <v>261</v>
      </c>
      <c r="F5" s="4" t="s">
        <v>262</v>
      </c>
      <c r="G5" s="5">
        <f>'Baseline calculator'!$B$72</f>
        <v>909.44068468242506</v>
      </c>
      <c r="H5" s="4" t="s">
        <v>190</v>
      </c>
      <c r="I5" s="4" t="s">
        <v>263</v>
      </c>
      <c r="J5" s="4" t="s">
        <v>264</v>
      </c>
      <c r="K5" s="4" t="s">
        <v>265</v>
      </c>
      <c r="L5" s="4" t="s">
        <v>266</v>
      </c>
      <c r="M5" s="4" t="s">
        <v>267</v>
      </c>
      <c r="N5" s="4" t="s">
        <v>268</v>
      </c>
    </row>
    <row r="6" spans="1:14" ht="27">
      <c r="A6" s="4" t="s">
        <v>258</v>
      </c>
      <c r="B6" s="4" t="s">
        <v>189</v>
      </c>
      <c r="C6" s="4" t="s">
        <v>259</v>
      </c>
      <c r="D6" s="4" t="s">
        <v>260</v>
      </c>
      <c r="E6" s="4" t="s">
        <v>269</v>
      </c>
      <c r="F6" s="4" t="s">
        <v>270</v>
      </c>
      <c r="G6" s="5">
        <f>'Baseline calculator'!$B$66</f>
        <v>86</v>
      </c>
      <c r="H6" s="4" t="s">
        <v>190</v>
      </c>
      <c r="I6" s="4" t="s">
        <v>271</v>
      </c>
      <c r="J6" s="4" t="s">
        <v>192</v>
      </c>
      <c r="K6" s="4" t="s">
        <v>272</v>
      </c>
      <c r="L6" s="4" t="s">
        <v>273</v>
      </c>
      <c r="M6" s="4" t="s">
        <v>274</v>
      </c>
      <c r="N6" s="4" t="s">
        <v>275</v>
      </c>
    </row>
    <row r="7" spans="1:14" ht="81">
      <c r="A7" s="4" t="s">
        <v>258</v>
      </c>
      <c r="B7" s="4" t="s">
        <v>194</v>
      </c>
      <c r="C7" s="4" t="s">
        <v>259</v>
      </c>
      <c r="D7" s="4" t="s">
        <v>260</v>
      </c>
      <c r="E7" s="4" t="s">
        <v>276</v>
      </c>
      <c r="F7" s="4" t="s">
        <v>277</v>
      </c>
      <c r="G7" s="5">
        <f>'Baseline calculator'!$B$67</f>
        <v>0.58249999999999991</v>
      </c>
      <c r="H7" s="4" t="s">
        <v>190</v>
      </c>
      <c r="I7" s="4" t="s">
        <v>278</v>
      </c>
      <c r="J7" s="4" t="s">
        <v>195</v>
      </c>
      <c r="K7" s="4" t="s">
        <v>279</v>
      </c>
      <c r="L7" s="4" t="s">
        <v>280</v>
      </c>
      <c r="M7" s="4" t="s">
        <v>281</v>
      </c>
      <c r="N7" s="4" t="s">
        <v>268</v>
      </c>
    </row>
    <row r="8" spans="1:14" ht="27">
      <c r="A8" s="4" t="s">
        <v>258</v>
      </c>
      <c r="B8" s="4" t="s">
        <v>197</v>
      </c>
      <c r="C8" s="4" t="s">
        <v>259</v>
      </c>
      <c r="D8" s="4" t="s">
        <v>260</v>
      </c>
      <c r="E8" s="4" t="s">
        <v>282</v>
      </c>
      <c r="F8" s="4" t="s">
        <v>283</v>
      </c>
      <c r="G8" s="5">
        <f>'Baseline calculator'!$B$68</f>
        <v>0.35846153846153839</v>
      </c>
      <c r="H8" s="4" t="s">
        <v>190</v>
      </c>
      <c r="I8" s="4" t="s">
        <v>284</v>
      </c>
      <c r="J8" s="4" t="s">
        <v>198</v>
      </c>
      <c r="K8" s="4" t="s">
        <v>285</v>
      </c>
      <c r="L8" s="4" t="s">
        <v>286</v>
      </c>
      <c r="M8" s="4" t="s">
        <v>287</v>
      </c>
      <c r="N8" s="4" t="s">
        <v>288</v>
      </c>
    </row>
    <row r="9" spans="1:14" ht="54">
      <c r="A9" s="4" t="s">
        <v>258</v>
      </c>
      <c r="B9" s="4" t="s">
        <v>200</v>
      </c>
      <c r="C9" s="4" t="s">
        <v>259</v>
      </c>
      <c r="D9" s="4" t="s">
        <v>260</v>
      </c>
      <c r="E9" s="4" t="s">
        <v>289</v>
      </c>
      <c r="F9" s="4" t="s">
        <v>283</v>
      </c>
      <c r="G9" s="5">
        <f>'Baseline calculator'!$B$69</f>
        <v>0.40627670982804354</v>
      </c>
      <c r="H9" s="4" t="s">
        <v>190</v>
      </c>
      <c r="I9" s="4" t="s">
        <v>290</v>
      </c>
      <c r="J9" s="4" t="s">
        <v>201</v>
      </c>
      <c r="K9" s="4" t="s">
        <v>291</v>
      </c>
      <c r="L9" s="4" t="s">
        <v>292</v>
      </c>
      <c r="M9" s="4" t="s">
        <v>293</v>
      </c>
      <c r="N9" s="4" t="s">
        <v>294</v>
      </c>
    </row>
    <row r="10" spans="1:14" ht="94.5">
      <c r="A10" s="4" t="s">
        <v>258</v>
      </c>
      <c r="B10" s="4" t="s">
        <v>203</v>
      </c>
      <c r="C10" s="4" t="s">
        <v>259</v>
      </c>
      <c r="D10" s="4" t="s">
        <v>260</v>
      </c>
      <c r="E10" s="4" t="s">
        <v>295</v>
      </c>
      <c r="F10" s="4" t="s">
        <v>283</v>
      </c>
      <c r="G10" s="5">
        <f>'Baseline calculator'!$B$70</f>
        <v>3.2120770692854164</v>
      </c>
      <c r="H10" s="4" t="s">
        <v>190</v>
      </c>
      <c r="I10" s="4" t="s">
        <v>296</v>
      </c>
      <c r="J10" s="4" t="s">
        <v>204</v>
      </c>
      <c r="K10" s="4" t="s">
        <v>297</v>
      </c>
      <c r="L10" s="4" t="s">
        <v>298</v>
      </c>
      <c r="M10" s="4" t="s">
        <v>299</v>
      </c>
      <c r="N10" s="4" t="s">
        <v>268</v>
      </c>
    </row>
    <row r="11" spans="1:14" ht="27">
      <c r="A11" s="4" t="s">
        <v>258</v>
      </c>
      <c r="B11" s="4" t="s">
        <v>206</v>
      </c>
      <c r="C11" s="4" t="s">
        <v>8</v>
      </c>
      <c r="D11" s="4" t="s">
        <v>260</v>
      </c>
      <c r="E11" s="4" t="s">
        <v>300</v>
      </c>
      <c r="F11" s="4" t="s">
        <v>283</v>
      </c>
      <c r="G11" s="5">
        <f>'Baseline calculator'!$B$71</f>
        <v>0</v>
      </c>
      <c r="H11" s="4" t="s">
        <v>207</v>
      </c>
      <c r="I11" s="4" t="s">
        <v>283</v>
      </c>
      <c r="J11" s="4" t="s">
        <v>301</v>
      </c>
      <c r="K11" s="4" t="s">
        <v>302</v>
      </c>
      <c r="L11" s="4" t="s">
        <v>303</v>
      </c>
      <c r="M11" s="4" t="s">
        <v>304</v>
      </c>
      <c r="N11" s="4" t="s">
        <v>252</v>
      </c>
    </row>
    <row r="12" spans="1:14" ht="108">
      <c r="A12" s="4" t="s">
        <v>305</v>
      </c>
      <c r="B12" s="4" t="s">
        <v>117</v>
      </c>
      <c r="C12" s="4" t="s">
        <v>306</v>
      </c>
      <c r="D12" s="4" t="s">
        <v>307</v>
      </c>
      <c r="E12" s="4" t="s">
        <v>308</v>
      </c>
      <c r="F12" s="4" t="s">
        <v>309</v>
      </c>
      <c r="G12" s="5">
        <f>'Baseline calculator'!$B$41</f>
        <v>133.33333333333334</v>
      </c>
      <c r="H12" s="4" t="s">
        <v>118</v>
      </c>
      <c r="I12" s="4" t="s">
        <v>310</v>
      </c>
      <c r="J12" s="4" t="s">
        <v>119</v>
      </c>
      <c r="K12" s="4" t="s">
        <v>311</v>
      </c>
      <c r="L12" s="4" t="s">
        <v>312</v>
      </c>
      <c r="M12" s="4" t="s">
        <v>313</v>
      </c>
      <c r="N12" s="4" t="s">
        <v>275</v>
      </c>
    </row>
    <row r="13" spans="1:14" ht="27">
      <c r="A13" s="4" t="s">
        <v>305</v>
      </c>
      <c r="B13" s="4" t="s">
        <v>34</v>
      </c>
      <c r="C13" s="4" t="s">
        <v>8</v>
      </c>
      <c r="D13" s="4" t="s">
        <v>314</v>
      </c>
      <c r="E13" s="4" t="s">
        <v>315</v>
      </c>
      <c r="F13" s="4" t="s">
        <v>316</v>
      </c>
      <c r="G13" s="5">
        <f>'Baseline calculator'!$B$9</f>
        <v>8.5999999999999993E-2</v>
      </c>
      <c r="H13" s="4" t="s">
        <v>35</v>
      </c>
      <c r="I13" s="4" t="s">
        <v>317</v>
      </c>
      <c r="J13" s="4" t="s">
        <v>318</v>
      </c>
      <c r="K13" s="4" t="s">
        <v>319</v>
      </c>
      <c r="L13" s="4" t="s">
        <v>320</v>
      </c>
      <c r="M13" s="4" t="s">
        <v>274</v>
      </c>
      <c r="N13" s="4" t="s">
        <v>275</v>
      </c>
    </row>
    <row r="14" spans="1:14" ht="67.5">
      <c r="A14" s="4" t="s">
        <v>305</v>
      </c>
      <c r="B14" s="4" t="s">
        <v>38</v>
      </c>
      <c r="C14" s="4" t="s">
        <v>8</v>
      </c>
      <c r="D14" s="4" t="s">
        <v>314</v>
      </c>
      <c r="E14" s="4" t="s">
        <v>321</v>
      </c>
      <c r="F14" s="4" t="s">
        <v>322</v>
      </c>
      <c r="G14" s="5">
        <f>'Baseline calculator'!$B$10</f>
        <v>2E-3</v>
      </c>
      <c r="H14" s="4" t="s">
        <v>35</v>
      </c>
      <c r="I14" s="4" t="s">
        <v>323</v>
      </c>
      <c r="J14" s="4" t="s">
        <v>324</v>
      </c>
      <c r="K14" s="4" t="s">
        <v>325</v>
      </c>
      <c r="L14" s="4" t="s">
        <v>326</v>
      </c>
      <c r="M14" s="4" t="s">
        <v>327</v>
      </c>
      <c r="N14" s="4" t="s">
        <v>268</v>
      </c>
    </row>
    <row r="15" spans="1:14" ht="27">
      <c r="A15" s="4" t="s">
        <v>305</v>
      </c>
      <c r="B15" s="4" t="s">
        <v>121</v>
      </c>
      <c r="C15" s="4" t="s">
        <v>123</v>
      </c>
      <c r="D15" s="4" t="s">
        <v>328</v>
      </c>
      <c r="E15" s="4" t="s">
        <v>329</v>
      </c>
      <c r="F15" s="4" t="s">
        <v>330</v>
      </c>
      <c r="G15" s="5">
        <f>'Baseline calculator'!$B$42</f>
        <v>121.60000000000001</v>
      </c>
      <c r="H15" s="4" t="s">
        <v>122</v>
      </c>
      <c r="I15" s="4" t="s">
        <v>331</v>
      </c>
      <c r="J15" s="4" t="s">
        <v>124</v>
      </c>
      <c r="K15" s="4" t="s">
        <v>332</v>
      </c>
      <c r="L15" s="4" t="s">
        <v>333</v>
      </c>
      <c r="M15" s="4" t="s">
        <v>334</v>
      </c>
      <c r="N15" s="4" t="s">
        <v>335</v>
      </c>
    </row>
    <row r="16" spans="1:14" ht="27">
      <c r="A16" s="4" t="s">
        <v>305</v>
      </c>
      <c r="B16" s="4" t="s">
        <v>126</v>
      </c>
      <c r="C16" s="4" t="s">
        <v>123</v>
      </c>
      <c r="D16" s="4" t="s">
        <v>328</v>
      </c>
      <c r="E16" s="4" t="s">
        <v>336</v>
      </c>
      <c r="F16" s="4" t="s">
        <v>330</v>
      </c>
      <c r="G16" s="5">
        <f>'Baseline calculator'!$B$43</f>
        <v>11.466666666666667</v>
      </c>
      <c r="H16" s="4" t="s">
        <v>122</v>
      </c>
      <c r="I16" s="4" t="s">
        <v>337</v>
      </c>
      <c r="J16" s="4" t="s">
        <v>127</v>
      </c>
      <c r="K16" s="4" t="s">
        <v>319</v>
      </c>
      <c r="L16" s="4" t="s">
        <v>338</v>
      </c>
      <c r="M16" s="4" t="s">
        <v>334</v>
      </c>
      <c r="N16" s="4" t="s">
        <v>335</v>
      </c>
    </row>
    <row r="17" spans="1:14" ht="27">
      <c r="A17" s="4" t="s">
        <v>305</v>
      </c>
      <c r="B17" s="4" t="s">
        <v>129</v>
      </c>
      <c r="C17" s="4" t="s">
        <v>123</v>
      </c>
      <c r="D17" s="4" t="s">
        <v>328</v>
      </c>
      <c r="E17" s="4" t="s">
        <v>339</v>
      </c>
      <c r="F17" s="4" t="s">
        <v>330</v>
      </c>
      <c r="G17" s="5">
        <f>'Baseline calculator'!$B$44</f>
        <v>0.26666666666666672</v>
      </c>
      <c r="H17" s="4" t="s">
        <v>122</v>
      </c>
      <c r="I17" s="4" t="s">
        <v>340</v>
      </c>
      <c r="J17" s="4" t="s">
        <v>130</v>
      </c>
      <c r="K17" s="4" t="s">
        <v>325</v>
      </c>
      <c r="L17" s="4" t="s">
        <v>341</v>
      </c>
      <c r="M17" s="4" t="s">
        <v>334</v>
      </c>
      <c r="N17" s="4" t="s">
        <v>335</v>
      </c>
    </row>
    <row r="18" spans="1:14" ht="40.5">
      <c r="A18" s="4" t="s">
        <v>342</v>
      </c>
      <c r="B18" s="4" t="s">
        <v>41</v>
      </c>
      <c r="C18" s="4" t="s">
        <v>43</v>
      </c>
      <c r="D18" s="4" t="s">
        <v>343</v>
      </c>
      <c r="E18" s="4" t="s">
        <v>344</v>
      </c>
      <c r="F18" s="4" t="s">
        <v>345</v>
      </c>
      <c r="G18" s="5" t="b">
        <f>'Baseline calculator'!$B$11</f>
        <v>1</v>
      </c>
      <c r="H18" s="4" t="s">
        <v>42</v>
      </c>
      <c r="I18" s="4" t="s">
        <v>42</v>
      </c>
      <c r="J18" s="4" t="s">
        <v>346</v>
      </c>
      <c r="K18" s="4" t="s">
        <v>347</v>
      </c>
      <c r="L18" s="4" t="s">
        <v>348</v>
      </c>
      <c r="M18" s="4" t="s">
        <v>349</v>
      </c>
      <c r="N18" s="4" t="s">
        <v>252</v>
      </c>
    </row>
    <row r="19" spans="1:14" ht="40.5">
      <c r="A19" s="4" t="s">
        <v>342</v>
      </c>
      <c r="B19" s="4" t="s">
        <v>46</v>
      </c>
      <c r="C19" s="4" t="s">
        <v>43</v>
      </c>
      <c r="D19" s="4" t="s">
        <v>343</v>
      </c>
      <c r="E19" s="4" t="s">
        <v>350</v>
      </c>
      <c r="F19" s="4" t="s">
        <v>351</v>
      </c>
      <c r="G19" s="5">
        <f>'Baseline calculator'!$B$12</f>
        <v>1</v>
      </c>
      <c r="H19" s="4" t="s">
        <v>35</v>
      </c>
      <c r="I19" s="4" t="s">
        <v>352</v>
      </c>
      <c r="J19" s="4" t="s">
        <v>346</v>
      </c>
      <c r="K19" s="4" t="s">
        <v>353</v>
      </c>
      <c r="L19" s="4" t="s">
        <v>354</v>
      </c>
      <c r="M19" s="4" t="s">
        <v>349</v>
      </c>
      <c r="N19" s="4" t="s">
        <v>355</v>
      </c>
    </row>
    <row r="20" spans="1:14" ht="40.5">
      <c r="A20" s="4" t="s">
        <v>342</v>
      </c>
      <c r="B20" s="4" t="s">
        <v>48</v>
      </c>
      <c r="C20" s="4" t="s">
        <v>43</v>
      </c>
      <c r="D20" s="4" t="s">
        <v>343</v>
      </c>
      <c r="E20" s="4" t="s">
        <v>356</v>
      </c>
      <c r="F20" s="4" t="s">
        <v>357</v>
      </c>
      <c r="G20" s="5">
        <f>'Baseline calculator'!$B$13</f>
        <v>0.65</v>
      </c>
      <c r="H20" s="4" t="s">
        <v>35</v>
      </c>
      <c r="I20" s="4" t="s">
        <v>358</v>
      </c>
      <c r="J20" s="4" t="s">
        <v>359</v>
      </c>
      <c r="K20" s="4" t="s">
        <v>360</v>
      </c>
      <c r="L20" s="4" t="s">
        <v>361</v>
      </c>
      <c r="M20" s="4" t="s">
        <v>362</v>
      </c>
      <c r="N20" s="4" t="s">
        <v>275</v>
      </c>
    </row>
    <row r="21" spans="1:14" ht="40.5">
      <c r="A21" s="4" t="s">
        <v>342</v>
      </c>
      <c r="B21" s="4" t="s">
        <v>50</v>
      </c>
      <c r="C21" s="4" t="s">
        <v>43</v>
      </c>
      <c r="D21" s="4" t="s">
        <v>343</v>
      </c>
      <c r="E21" s="4" t="s">
        <v>363</v>
      </c>
      <c r="F21" s="4" t="s">
        <v>364</v>
      </c>
      <c r="G21" s="5">
        <f>'Baseline calculator'!$B$14</f>
        <v>1</v>
      </c>
      <c r="H21" s="4" t="s">
        <v>12</v>
      </c>
      <c r="I21" s="4" t="s">
        <v>365</v>
      </c>
      <c r="J21" s="4" t="s">
        <v>366</v>
      </c>
      <c r="K21" s="4" t="s">
        <v>360</v>
      </c>
      <c r="L21" s="4" t="s">
        <v>367</v>
      </c>
      <c r="M21" s="4" t="s">
        <v>368</v>
      </c>
      <c r="N21" s="4" t="s">
        <v>268</v>
      </c>
    </row>
    <row r="22" spans="1:14" ht="189">
      <c r="A22" s="4" t="s">
        <v>369</v>
      </c>
      <c r="B22" s="4" t="s">
        <v>52</v>
      </c>
      <c r="C22" s="4" t="s">
        <v>54</v>
      </c>
      <c r="D22" s="4" t="s">
        <v>314</v>
      </c>
      <c r="E22" s="4" t="s">
        <v>370</v>
      </c>
      <c r="F22" s="4" t="s">
        <v>371</v>
      </c>
      <c r="G22" s="5">
        <f>'Baseline calculator'!$B$15</f>
        <v>5.0000000000000001E-4</v>
      </c>
      <c r="H22" s="4" t="s">
        <v>53</v>
      </c>
      <c r="I22" s="4" t="s">
        <v>372</v>
      </c>
      <c r="J22" s="4" t="s">
        <v>373</v>
      </c>
      <c r="K22" s="4" t="s">
        <v>374</v>
      </c>
      <c r="L22" s="4" t="s">
        <v>375</v>
      </c>
      <c r="M22" s="4" t="s">
        <v>376</v>
      </c>
      <c r="N22" s="4" t="s">
        <v>288</v>
      </c>
    </row>
    <row r="23" spans="1:14" ht="121.5">
      <c r="A23" s="4" t="s">
        <v>369</v>
      </c>
      <c r="B23" s="4" t="s">
        <v>57</v>
      </c>
      <c r="C23" s="4" t="s">
        <v>54</v>
      </c>
      <c r="D23" s="4" t="s">
        <v>314</v>
      </c>
      <c r="E23" s="4" t="s">
        <v>377</v>
      </c>
      <c r="F23" s="4" t="s">
        <v>378</v>
      </c>
      <c r="G23" s="5">
        <f>'Baseline calculator'!$B$16</f>
        <v>8.0000000000000002E-3</v>
      </c>
      <c r="H23" s="4" t="s">
        <v>53</v>
      </c>
      <c r="I23" s="4" t="s">
        <v>379</v>
      </c>
      <c r="J23" s="4" t="s">
        <v>380</v>
      </c>
      <c r="K23" s="4" t="s">
        <v>381</v>
      </c>
      <c r="L23" s="4" t="s">
        <v>382</v>
      </c>
      <c r="M23" s="4" t="s">
        <v>383</v>
      </c>
      <c r="N23" s="4" t="s">
        <v>294</v>
      </c>
    </row>
    <row r="24" spans="1:14" ht="121.5">
      <c r="A24" s="4" t="s">
        <v>369</v>
      </c>
      <c r="B24" s="4" t="s">
        <v>59</v>
      </c>
      <c r="C24" s="4" t="s">
        <v>54</v>
      </c>
      <c r="D24" s="4" t="s">
        <v>314</v>
      </c>
      <c r="E24" s="4" t="s">
        <v>384</v>
      </c>
      <c r="F24" s="4" t="s">
        <v>385</v>
      </c>
      <c r="G24" s="5">
        <f>'Baseline calculator'!$B$17</f>
        <v>0.04</v>
      </c>
      <c r="H24" s="4" t="s">
        <v>53</v>
      </c>
      <c r="I24" s="4" t="s">
        <v>386</v>
      </c>
      <c r="J24" s="4" t="s">
        <v>380</v>
      </c>
      <c r="K24" s="4" t="s">
        <v>387</v>
      </c>
      <c r="L24" s="4" t="s">
        <v>388</v>
      </c>
      <c r="M24" s="4" t="s">
        <v>383</v>
      </c>
      <c r="N24" s="4" t="s">
        <v>294</v>
      </c>
    </row>
    <row r="25" spans="1:14" ht="40.5">
      <c r="A25" s="4" t="s">
        <v>369</v>
      </c>
      <c r="B25" s="4" t="s">
        <v>61</v>
      </c>
      <c r="C25" s="4" t="s">
        <v>54</v>
      </c>
      <c r="D25" s="4" t="s">
        <v>314</v>
      </c>
      <c r="E25" s="4" t="s">
        <v>389</v>
      </c>
      <c r="F25" s="4" t="s">
        <v>378</v>
      </c>
      <c r="G25" s="5">
        <f>'Baseline calculator'!$B$18</f>
        <v>4.0000000000000001E-3</v>
      </c>
      <c r="H25" s="4" t="s">
        <v>53</v>
      </c>
      <c r="I25" s="4" t="s">
        <v>390</v>
      </c>
      <c r="J25" s="4" t="s">
        <v>391</v>
      </c>
      <c r="K25" s="4" t="s">
        <v>392</v>
      </c>
      <c r="L25" s="4" t="s">
        <v>393</v>
      </c>
      <c r="M25" s="4" t="s">
        <v>394</v>
      </c>
      <c r="N25" s="4" t="s">
        <v>294</v>
      </c>
    </row>
    <row r="26" spans="1:14" ht="27">
      <c r="A26" s="4" t="s">
        <v>369</v>
      </c>
      <c r="B26" s="4" t="s">
        <v>132</v>
      </c>
      <c r="C26" s="4" t="s">
        <v>105</v>
      </c>
      <c r="D26" s="4" t="s">
        <v>395</v>
      </c>
      <c r="E26" s="4" t="s">
        <v>396</v>
      </c>
      <c r="F26" s="4" t="s">
        <v>59</v>
      </c>
      <c r="G26" s="5">
        <f>'Baseline calculator'!$B$45</f>
        <v>0.04</v>
      </c>
      <c r="H26" s="4" t="s">
        <v>53</v>
      </c>
      <c r="I26" s="4" t="s">
        <v>397</v>
      </c>
      <c r="J26" s="4" t="s">
        <v>59</v>
      </c>
      <c r="K26" s="4" t="s">
        <v>398</v>
      </c>
      <c r="L26" s="4" t="s">
        <v>399</v>
      </c>
      <c r="M26" s="4" t="s">
        <v>400</v>
      </c>
      <c r="N26" s="4" t="s">
        <v>401</v>
      </c>
    </row>
    <row r="27" spans="1:14" ht="27">
      <c r="A27" s="4" t="s">
        <v>369</v>
      </c>
      <c r="B27" s="4" t="s">
        <v>134</v>
      </c>
      <c r="C27" s="4" t="s">
        <v>105</v>
      </c>
      <c r="D27" s="4" t="s">
        <v>395</v>
      </c>
      <c r="E27" s="4" t="s">
        <v>402</v>
      </c>
      <c r="F27" s="4" t="s">
        <v>403</v>
      </c>
      <c r="G27" s="5">
        <f>'Baseline calculator'!$B$46</f>
        <v>4.0000000000000001E-3</v>
      </c>
      <c r="H27" s="4" t="s">
        <v>53</v>
      </c>
      <c r="I27" s="4" t="s">
        <v>404</v>
      </c>
      <c r="J27" s="4" t="s">
        <v>135</v>
      </c>
      <c r="K27" s="4" t="s">
        <v>405</v>
      </c>
      <c r="L27" s="4" t="s">
        <v>406</v>
      </c>
      <c r="M27" s="4" t="s">
        <v>400</v>
      </c>
      <c r="N27" s="4" t="s">
        <v>401</v>
      </c>
    </row>
    <row r="28" spans="1:14" ht="108">
      <c r="A28" s="4" t="s">
        <v>369</v>
      </c>
      <c r="B28" s="4" t="s">
        <v>407</v>
      </c>
      <c r="C28" s="4" t="s">
        <v>123</v>
      </c>
      <c r="D28" s="4" t="s">
        <v>328</v>
      </c>
      <c r="E28" s="4" t="s">
        <v>408</v>
      </c>
      <c r="F28" s="4" t="s">
        <v>330</v>
      </c>
      <c r="G28" s="5" t="s">
        <v>409</v>
      </c>
      <c r="H28" s="4" t="s">
        <v>53</v>
      </c>
      <c r="I28" s="4" t="s">
        <v>410</v>
      </c>
      <c r="J28" s="4" t="s">
        <v>411</v>
      </c>
      <c r="K28" s="4" t="s">
        <v>412</v>
      </c>
      <c r="L28" s="4" t="s">
        <v>413</v>
      </c>
      <c r="M28" s="4" t="s">
        <v>414</v>
      </c>
      <c r="N28" s="4" t="s">
        <v>335</v>
      </c>
    </row>
    <row r="29" spans="1:14" ht="108">
      <c r="A29" s="4" t="s">
        <v>415</v>
      </c>
      <c r="B29" s="4" t="s">
        <v>63</v>
      </c>
      <c r="C29" s="4" t="s">
        <v>54</v>
      </c>
      <c r="D29" s="4" t="s">
        <v>314</v>
      </c>
      <c r="E29" s="4" t="s">
        <v>416</v>
      </c>
      <c r="F29" s="4" t="s">
        <v>417</v>
      </c>
      <c r="G29" s="5">
        <f>'Baseline calculator'!$B$19</f>
        <v>6.5500000000000003E-2</v>
      </c>
      <c r="H29" s="4" t="s">
        <v>64</v>
      </c>
      <c r="I29" s="4" t="s">
        <v>418</v>
      </c>
      <c r="J29" s="4" t="s">
        <v>419</v>
      </c>
      <c r="K29" s="4" t="s">
        <v>420</v>
      </c>
      <c r="L29" s="4" t="s">
        <v>421</v>
      </c>
      <c r="M29" s="4" t="s">
        <v>422</v>
      </c>
      <c r="N29" s="4" t="s">
        <v>423</v>
      </c>
    </row>
    <row r="30" spans="1:14" ht="27">
      <c r="A30" s="4" t="s">
        <v>415</v>
      </c>
      <c r="B30" s="4" t="s">
        <v>67</v>
      </c>
      <c r="C30" s="4" t="s">
        <v>8</v>
      </c>
      <c r="D30" s="4" t="s">
        <v>314</v>
      </c>
      <c r="E30" s="4" t="s">
        <v>424</v>
      </c>
      <c r="F30" s="4" t="s">
        <v>417</v>
      </c>
      <c r="G30" s="5">
        <f>'Baseline calculator'!$B$20</f>
        <v>0.373</v>
      </c>
      <c r="H30" s="4" t="s">
        <v>35</v>
      </c>
      <c r="I30" s="4" t="s">
        <v>425</v>
      </c>
      <c r="J30" s="4" t="s">
        <v>426</v>
      </c>
      <c r="K30" s="4" t="s">
        <v>427</v>
      </c>
      <c r="L30" s="4" t="s">
        <v>428</v>
      </c>
      <c r="M30" s="4" t="s">
        <v>429</v>
      </c>
      <c r="N30" s="4" t="s">
        <v>275</v>
      </c>
    </row>
    <row r="31" spans="1:14" ht="54">
      <c r="A31" s="4" t="s">
        <v>415</v>
      </c>
      <c r="B31" s="4" t="s">
        <v>69</v>
      </c>
      <c r="C31" s="4" t="s">
        <v>8</v>
      </c>
      <c r="D31" s="4" t="s">
        <v>314</v>
      </c>
      <c r="E31" s="4" t="s">
        <v>430</v>
      </c>
      <c r="F31" s="4" t="s">
        <v>431</v>
      </c>
      <c r="G31" s="5">
        <f>'Baseline calculator'!$B$21</f>
        <v>2</v>
      </c>
      <c r="H31" s="4" t="s">
        <v>70</v>
      </c>
      <c r="I31" s="4" t="s">
        <v>432</v>
      </c>
      <c r="J31" s="4" t="s">
        <v>433</v>
      </c>
      <c r="K31" s="4" t="s">
        <v>427</v>
      </c>
      <c r="L31" s="4" t="s">
        <v>434</v>
      </c>
      <c r="M31" s="4" t="s">
        <v>435</v>
      </c>
      <c r="N31" s="4" t="s">
        <v>288</v>
      </c>
    </row>
    <row r="32" spans="1:14" ht="40.5">
      <c r="A32" s="4" t="s">
        <v>415</v>
      </c>
      <c r="B32" s="4" t="s">
        <v>72</v>
      </c>
      <c r="C32" s="4" t="s">
        <v>8</v>
      </c>
      <c r="D32" s="4" t="s">
        <v>314</v>
      </c>
      <c r="E32" s="4" t="s">
        <v>436</v>
      </c>
      <c r="F32" s="4" t="s">
        <v>437</v>
      </c>
      <c r="G32" s="5">
        <f>'Baseline calculator'!$B$22</f>
        <v>30</v>
      </c>
      <c r="H32" s="4" t="s">
        <v>12</v>
      </c>
      <c r="I32" s="4" t="s">
        <v>438</v>
      </c>
      <c r="J32" s="4" t="s">
        <v>439</v>
      </c>
      <c r="K32" s="4" t="s">
        <v>440</v>
      </c>
      <c r="L32" s="4" t="s">
        <v>441</v>
      </c>
      <c r="M32" s="4" t="s">
        <v>442</v>
      </c>
      <c r="N32" s="4" t="s">
        <v>423</v>
      </c>
    </row>
    <row r="33" spans="1:14" ht="108">
      <c r="A33" s="4" t="s">
        <v>415</v>
      </c>
      <c r="B33" s="4" t="s">
        <v>137</v>
      </c>
      <c r="C33" s="4" t="s">
        <v>105</v>
      </c>
      <c r="D33" s="4" t="s">
        <v>395</v>
      </c>
      <c r="E33" s="4" t="s">
        <v>443</v>
      </c>
      <c r="F33" s="4" t="s">
        <v>444</v>
      </c>
      <c r="G33" s="5">
        <f>'Baseline calculator'!$B$47</f>
        <v>2.9977166666666664E-3</v>
      </c>
      <c r="H33" s="4" t="s">
        <v>53</v>
      </c>
      <c r="I33" s="4" t="s">
        <v>445</v>
      </c>
      <c r="J33" s="4" t="s">
        <v>138</v>
      </c>
      <c r="K33" s="4" t="s">
        <v>420</v>
      </c>
      <c r="L33" s="4" t="s">
        <v>446</v>
      </c>
      <c r="M33" s="4" t="s">
        <v>447</v>
      </c>
      <c r="N33" s="4" t="s">
        <v>448</v>
      </c>
    </row>
    <row r="34" spans="1:14" ht="27">
      <c r="A34" s="4" t="s">
        <v>449</v>
      </c>
      <c r="B34" s="4" t="s">
        <v>74</v>
      </c>
      <c r="C34" s="4" t="s">
        <v>8</v>
      </c>
      <c r="D34" s="4" t="s">
        <v>314</v>
      </c>
      <c r="E34" s="4" t="s">
        <v>450</v>
      </c>
      <c r="F34" s="4" t="s">
        <v>451</v>
      </c>
      <c r="G34" s="5">
        <f>'Baseline calculator'!$B$23</f>
        <v>0.05</v>
      </c>
      <c r="H34" s="4" t="s">
        <v>35</v>
      </c>
      <c r="I34" s="4" t="s">
        <v>452</v>
      </c>
      <c r="J34" s="4" t="s">
        <v>453</v>
      </c>
      <c r="K34" s="4" t="s">
        <v>454</v>
      </c>
      <c r="L34" s="4" t="s">
        <v>455</v>
      </c>
      <c r="M34" s="4" t="s">
        <v>400</v>
      </c>
      <c r="N34" s="4" t="s">
        <v>294</v>
      </c>
    </row>
    <row r="35" spans="1:14" ht="27">
      <c r="A35" s="4" t="s">
        <v>449</v>
      </c>
      <c r="B35" s="4" t="s">
        <v>77</v>
      </c>
      <c r="C35" s="4" t="s">
        <v>8</v>
      </c>
      <c r="D35" s="4" t="s">
        <v>314</v>
      </c>
      <c r="E35" s="4" t="s">
        <v>456</v>
      </c>
      <c r="F35" s="4" t="s">
        <v>437</v>
      </c>
      <c r="G35" s="5">
        <f>'Baseline calculator'!$B$24</f>
        <v>5</v>
      </c>
      <c r="H35" s="4" t="s">
        <v>12</v>
      </c>
      <c r="I35" s="4" t="s">
        <v>457</v>
      </c>
      <c r="J35" s="4" t="s">
        <v>453</v>
      </c>
      <c r="K35" s="4" t="s">
        <v>454</v>
      </c>
      <c r="L35" s="4" t="s">
        <v>458</v>
      </c>
      <c r="M35" s="4" t="s">
        <v>400</v>
      </c>
      <c r="N35" s="4" t="s">
        <v>294</v>
      </c>
    </row>
    <row r="36" spans="1:14">
      <c r="A36" s="4" t="s">
        <v>449</v>
      </c>
      <c r="B36" s="4" t="s">
        <v>140</v>
      </c>
      <c r="C36" s="4" t="s">
        <v>105</v>
      </c>
      <c r="D36" s="4" t="s">
        <v>395</v>
      </c>
      <c r="E36" s="4" t="s">
        <v>459</v>
      </c>
      <c r="F36" s="4" t="s">
        <v>460</v>
      </c>
      <c r="G36" s="5">
        <f>'Baseline calculator'!$B$48</f>
        <v>0.01</v>
      </c>
      <c r="H36" s="4" t="s">
        <v>53</v>
      </c>
      <c r="I36" s="4" t="s">
        <v>461</v>
      </c>
      <c r="J36" s="4" t="s">
        <v>141</v>
      </c>
      <c r="K36" s="4" t="s">
        <v>454</v>
      </c>
      <c r="L36" s="4" t="s">
        <v>462</v>
      </c>
      <c r="M36" s="4" t="s">
        <v>400</v>
      </c>
      <c r="N36" s="4" t="s">
        <v>335</v>
      </c>
    </row>
    <row r="37" spans="1:14" ht="67.5">
      <c r="A37" s="4" t="s">
        <v>463</v>
      </c>
      <c r="B37" s="4" t="s">
        <v>79</v>
      </c>
      <c r="C37" s="4" t="s">
        <v>8</v>
      </c>
      <c r="D37" s="4" t="s">
        <v>314</v>
      </c>
      <c r="E37" s="4" t="s">
        <v>464</v>
      </c>
      <c r="F37" s="4" t="s">
        <v>465</v>
      </c>
      <c r="G37" s="5">
        <f>'Baseline calculator'!$B$25</f>
        <v>7</v>
      </c>
      <c r="H37" s="4" t="s">
        <v>12</v>
      </c>
      <c r="I37" s="4" t="s">
        <v>466</v>
      </c>
      <c r="J37" s="4" t="s">
        <v>467</v>
      </c>
      <c r="K37" s="4" t="s">
        <v>468</v>
      </c>
      <c r="L37" s="4" t="s">
        <v>469</v>
      </c>
      <c r="M37" s="4" t="s">
        <v>470</v>
      </c>
      <c r="N37" s="4" t="s">
        <v>268</v>
      </c>
    </row>
    <row r="38" spans="1:14" ht="40.5">
      <c r="A38" s="4" t="s">
        <v>463</v>
      </c>
      <c r="B38" s="4" t="s">
        <v>81</v>
      </c>
      <c r="C38" s="4" t="s">
        <v>8</v>
      </c>
      <c r="D38" s="4" t="s">
        <v>314</v>
      </c>
      <c r="E38" s="4" t="s">
        <v>471</v>
      </c>
      <c r="F38" s="4" t="s">
        <v>465</v>
      </c>
      <c r="G38" s="5">
        <f>'Baseline calculator'!$B$26</f>
        <v>7</v>
      </c>
      <c r="H38" s="4" t="s">
        <v>12</v>
      </c>
      <c r="I38" s="4" t="s">
        <v>466</v>
      </c>
      <c r="J38" s="4" t="s">
        <v>467</v>
      </c>
      <c r="K38" s="4" t="s">
        <v>472</v>
      </c>
      <c r="L38" s="4" t="s">
        <v>473</v>
      </c>
      <c r="M38" s="4" t="s">
        <v>474</v>
      </c>
      <c r="N38" s="4" t="s">
        <v>423</v>
      </c>
    </row>
    <row r="39" spans="1:14" ht="27">
      <c r="A39" s="4" t="s">
        <v>463</v>
      </c>
      <c r="B39" s="4" t="s">
        <v>83</v>
      </c>
      <c r="C39" s="4" t="s">
        <v>8</v>
      </c>
      <c r="D39" s="4" t="s">
        <v>314</v>
      </c>
      <c r="E39" s="4" t="s">
        <v>475</v>
      </c>
      <c r="F39" s="4" t="s">
        <v>476</v>
      </c>
      <c r="G39" s="5">
        <f>'Baseline calculator'!$B$27</f>
        <v>14</v>
      </c>
      <c r="H39" s="4" t="s">
        <v>12</v>
      </c>
      <c r="I39" s="4" t="s">
        <v>477</v>
      </c>
      <c r="J39" s="4" t="s">
        <v>478</v>
      </c>
      <c r="K39" s="4" t="s">
        <v>479</v>
      </c>
      <c r="L39" s="4" t="s">
        <v>480</v>
      </c>
      <c r="M39" s="4" t="s">
        <v>481</v>
      </c>
      <c r="N39" s="4" t="s">
        <v>423</v>
      </c>
    </row>
    <row r="40" spans="1:14" ht="27">
      <c r="A40" s="4" t="s">
        <v>463</v>
      </c>
      <c r="B40" s="4" t="s">
        <v>85</v>
      </c>
      <c r="C40" s="4" t="s">
        <v>8</v>
      </c>
      <c r="D40" s="4" t="s">
        <v>314</v>
      </c>
      <c r="E40" s="4" t="s">
        <v>482</v>
      </c>
      <c r="F40" s="4" t="s">
        <v>476</v>
      </c>
      <c r="G40" s="5">
        <f>'Baseline calculator'!$B$28</f>
        <v>14</v>
      </c>
      <c r="H40" s="4" t="s">
        <v>12</v>
      </c>
      <c r="I40" s="4" t="s">
        <v>477</v>
      </c>
      <c r="J40" s="4" t="s">
        <v>483</v>
      </c>
      <c r="K40" s="4" t="s">
        <v>484</v>
      </c>
      <c r="L40" s="4" t="s">
        <v>485</v>
      </c>
      <c r="M40" s="4" t="s">
        <v>400</v>
      </c>
      <c r="N40" s="4" t="s">
        <v>486</v>
      </c>
    </row>
    <row r="41" spans="1:14" ht="27">
      <c r="A41" s="4" t="s">
        <v>487</v>
      </c>
      <c r="B41" s="4" t="s">
        <v>87</v>
      </c>
      <c r="C41" s="4" t="s">
        <v>8</v>
      </c>
      <c r="D41" s="4" t="s">
        <v>314</v>
      </c>
      <c r="E41" s="4" t="s">
        <v>488</v>
      </c>
      <c r="F41" s="4" t="s">
        <v>476</v>
      </c>
      <c r="G41" s="5">
        <f>'Baseline calculator'!$B$29</f>
        <v>14</v>
      </c>
      <c r="H41" s="4" t="s">
        <v>12</v>
      </c>
      <c r="I41" s="4" t="s">
        <v>489</v>
      </c>
      <c r="J41" s="4" t="s">
        <v>490</v>
      </c>
      <c r="K41" s="4" t="s">
        <v>491</v>
      </c>
      <c r="L41" s="4" t="s">
        <v>492</v>
      </c>
      <c r="M41" s="4" t="s">
        <v>493</v>
      </c>
      <c r="N41" s="4" t="s">
        <v>268</v>
      </c>
    </row>
    <row r="42" spans="1:14" ht="27">
      <c r="A42" s="4" t="s">
        <v>463</v>
      </c>
      <c r="B42" s="4" t="s">
        <v>89</v>
      </c>
      <c r="C42" s="4" t="s">
        <v>8</v>
      </c>
      <c r="D42" s="4" t="s">
        <v>314</v>
      </c>
      <c r="E42" s="4" t="s">
        <v>494</v>
      </c>
      <c r="F42" s="4" t="s">
        <v>254</v>
      </c>
      <c r="G42" s="5">
        <f>'Baseline calculator'!$B$30</f>
        <v>0.5</v>
      </c>
      <c r="H42" s="4" t="s">
        <v>12</v>
      </c>
      <c r="I42" s="4" t="s">
        <v>255</v>
      </c>
      <c r="J42" s="4" t="s">
        <v>495</v>
      </c>
      <c r="K42" s="4" t="s">
        <v>496</v>
      </c>
      <c r="L42" s="4" t="s">
        <v>497</v>
      </c>
      <c r="M42" s="4" t="s">
        <v>400</v>
      </c>
      <c r="N42" s="4" t="s">
        <v>288</v>
      </c>
    </row>
    <row r="43" spans="1:14">
      <c r="A43" s="4" t="s">
        <v>463</v>
      </c>
      <c r="B43" s="4" t="s">
        <v>146</v>
      </c>
      <c r="C43" s="4" t="s">
        <v>105</v>
      </c>
      <c r="D43" s="4" t="s">
        <v>395</v>
      </c>
      <c r="E43" s="4" t="s">
        <v>498</v>
      </c>
      <c r="F43" s="4" t="s">
        <v>499</v>
      </c>
      <c r="G43" s="5">
        <f>'Baseline calculator'!$B$50</f>
        <v>0.13333333333333333</v>
      </c>
      <c r="H43" s="4" t="s">
        <v>53</v>
      </c>
      <c r="I43" s="4" t="s">
        <v>500</v>
      </c>
      <c r="J43" s="4" t="s">
        <v>147</v>
      </c>
      <c r="K43" s="4" t="s">
        <v>468</v>
      </c>
      <c r="L43" s="4" t="s">
        <v>501</v>
      </c>
      <c r="M43" s="4" t="s">
        <v>400</v>
      </c>
      <c r="N43" s="4" t="s">
        <v>335</v>
      </c>
    </row>
    <row r="44" spans="1:14">
      <c r="A44" s="4" t="s">
        <v>463</v>
      </c>
      <c r="B44" s="4" t="s">
        <v>149</v>
      </c>
      <c r="C44" s="4" t="s">
        <v>105</v>
      </c>
      <c r="D44" s="4" t="s">
        <v>395</v>
      </c>
      <c r="E44" s="4" t="s">
        <v>502</v>
      </c>
      <c r="F44" s="4" t="s">
        <v>499</v>
      </c>
      <c r="G44" s="5">
        <f>'Baseline calculator'!$B$51</f>
        <v>0.13333333333333333</v>
      </c>
      <c r="H44" s="4" t="s">
        <v>53</v>
      </c>
      <c r="I44" s="4" t="s">
        <v>503</v>
      </c>
      <c r="J44" s="4" t="s">
        <v>150</v>
      </c>
      <c r="K44" s="4" t="s">
        <v>472</v>
      </c>
      <c r="L44" s="4" t="s">
        <v>501</v>
      </c>
      <c r="M44" s="4" t="s">
        <v>400</v>
      </c>
      <c r="N44" s="4" t="s">
        <v>335</v>
      </c>
    </row>
    <row r="45" spans="1:14">
      <c r="A45" s="4" t="s">
        <v>463</v>
      </c>
      <c r="B45" s="4" t="s">
        <v>152</v>
      </c>
      <c r="C45" s="4" t="s">
        <v>105</v>
      </c>
      <c r="D45" s="4" t="s">
        <v>395</v>
      </c>
      <c r="E45" s="4" t="s">
        <v>504</v>
      </c>
      <c r="F45" s="4" t="s">
        <v>505</v>
      </c>
      <c r="G45" s="5">
        <f>'Baseline calculator'!$B$52</f>
        <v>6.8965517241379309E-2</v>
      </c>
      <c r="H45" s="4" t="s">
        <v>53</v>
      </c>
      <c r="I45" s="4" t="s">
        <v>506</v>
      </c>
      <c r="J45" s="4" t="s">
        <v>153</v>
      </c>
      <c r="K45" s="4" t="s">
        <v>479</v>
      </c>
      <c r="L45" s="4" t="s">
        <v>501</v>
      </c>
      <c r="M45" s="4" t="s">
        <v>400</v>
      </c>
      <c r="N45" s="4" t="s">
        <v>335</v>
      </c>
    </row>
    <row r="46" spans="1:14">
      <c r="A46" s="4" t="s">
        <v>463</v>
      </c>
      <c r="B46" s="4" t="s">
        <v>155</v>
      </c>
      <c r="C46" s="4" t="s">
        <v>105</v>
      </c>
      <c r="D46" s="4" t="s">
        <v>395</v>
      </c>
      <c r="E46" s="4" t="s">
        <v>507</v>
      </c>
      <c r="F46" s="4" t="s">
        <v>505</v>
      </c>
      <c r="G46" s="5">
        <f>'Baseline calculator'!$B$53</f>
        <v>6.8965517241379309E-2</v>
      </c>
      <c r="H46" s="4" t="s">
        <v>53</v>
      </c>
      <c r="I46" s="4" t="s">
        <v>508</v>
      </c>
      <c r="J46" s="4" t="s">
        <v>156</v>
      </c>
      <c r="K46" s="4" t="s">
        <v>484</v>
      </c>
      <c r="L46" s="4" t="s">
        <v>509</v>
      </c>
      <c r="M46" s="4" t="s">
        <v>400</v>
      </c>
      <c r="N46" s="4" t="s">
        <v>335</v>
      </c>
    </row>
    <row r="47" spans="1:14" ht="27">
      <c r="A47" s="4" t="s">
        <v>487</v>
      </c>
      <c r="B47" s="4" t="s">
        <v>95</v>
      </c>
      <c r="C47" s="4" t="s">
        <v>8</v>
      </c>
      <c r="D47" s="4" t="s">
        <v>314</v>
      </c>
      <c r="E47" s="4" t="s">
        <v>510</v>
      </c>
      <c r="F47" s="4" t="s">
        <v>511</v>
      </c>
      <c r="G47" s="5">
        <f>'Baseline calculator'!$B$33</f>
        <v>0.8</v>
      </c>
      <c r="H47" s="4" t="s">
        <v>35</v>
      </c>
      <c r="I47" s="4" t="s">
        <v>512</v>
      </c>
      <c r="J47" s="4" t="s">
        <v>513</v>
      </c>
      <c r="K47" s="4" t="s">
        <v>514</v>
      </c>
      <c r="L47" s="4" t="s">
        <v>515</v>
      </c>
      <c r="M47" s="4" t="s">
        <v>481</v>
      </c>
      <c r="N47" s="4" t="s">
        <v>294</v>
      </c>
    </row>
    <row r="48" spans="1:14" ht="27">
      <c r="A48" s="4" t="s">
        <v>487</v>
      </c>
      <c r="B48" s="4" t="s">
        <v>143</v>
      </c>
      <c r="C48" s="4" t="s">
        <v>105</v>
      </c>
      <c r="D48" s="4" t="s">
        <v>395</v>
      </c>
      <c r="E48" s="4" t="s">
        <v>516</v>
      </c>
      <c r="F48" s="4" t="s">
        <v>517</v>
      </c>
      <c r="G48" s="5">
        <f>'Baseline calculator'!$B$49</f>
        <v>5.5172413793103454E-2</v>
      </c>
      <c r="H48" s="4" t="s">
        <v>53</v>
      </c>
      <c r="I48" s="4" t="s">
        <v>518</v>
      </c>
      <c r="J48" s="4" t="s">
        <v>144</v>
      </c>
      <c r="K48" s="4" t="s">
        <v>519</v>
      </c>
      <c r="L48" s="4" t="s">
        <v>520</v>
      </c>
      <c r="M48" s="4" t="s">
        <v>481</v>
      </c>
      <c r="N48" s="4" t="s">
        <v>335</v>
      </c>
    </row>
    <row r="49" spans="1:14" ht="27">
      <c r="A49" s="4" t="s">
        <v>463</v>
      </c>
      <c r="B49" s="4" t="s">
        <v>158</v>
      </c>
      <c r="C49" s="4" t="s">
        <v>105</v>
      </c>
      <c r="D49" s="4" t="s">
        <v>395</v>
      </c>
      <c r="E49" s="4" t="s">
        <v>521</v>
      </c>
      <c r="F49" s="4" t="s">
        <v>522</v>
      </c>
      <c r="G49" s="5">
        <f>'Baseline calculator'!$B$54</f>
        <v>1.3793103448275858E-2</v>
      </c>
      <c r="H49" s="4" t="s">
        <v>53</v>
      </c>
      <c r="I49" s="4" t="s">
        <v>518</v>
      </c>
      <c r="J49" s="4" t="s">
        <v>144</v>
      </c>
      <c r="K49" s="4" t="s">
        <v>523</v>
      </c>
      <c r="L49" s="4" t="s">
        <v>524</v>
      </c>
      <c r="M49" s="4" t="s">
        <v>400</v>
      </c>
      <c r="N49" s="4" t="s">
        <v>335</v>
      </c>
    </row>
    <row r="50" spans="1:14" ht="27">
      <c r="A50" s="4" t="s">
        <v>525</v>
      </c>
      <c r="B50" s="4" t="s">
        <v>91</v>
      </c>
      <c r="C50" s="4" t="s">
        <v>8</v>
      </c>
      <c r="D50" s="4" t="s">
        <v>314</v>
      </c>
      <c r="E50" s="4" t="s">
        <v>526</v>
      </c>
      <c r="F50" s="4" t="s">
        <v>364</v>
      </c>
      <c r="G50" s="5">
        <f>'Baseline calculator'!$B$31</f>
        <v>2</v>
      </c>
      <c r="H50" s="4" t="s">
        <v>12</v>
      </c>
      <c r="I50" s="4" t="s">
        <v>527</v>
      </c>
      <c r="J50" s="4" t="s">
        <v>528</v>
      </c>
      <c r="K50" s="4" t="s">
        <v>353</v>
      </c>
      <c r="L50" s="4" t="s">
        <v>529</v>
      </c>
      <c r="M50" s="4" t="s">
        <v>400</v>
      </c>
      <c r="N50" s="4" t="s">
        <v>288</v>
      </c>
    </row>
    <row r="51" spans="1:14" ht="27">
      <c r="A51" s="4" t="s">
        <v>525</v>
      </c>
      <c r="B51" s="4" t="s">
        <v>93</v>
      </c>
      <c r="C51" s="4" t="s">
        <v>8</v>
      </c>
      <c r="D51" s="4" t="s">
        <v>314</v>
      </c>
      <c r="E51" s="4" t="s">
        <v>530</v>
      </c>
      <c r="F51" s="4" t="s">
        <v>465</v>
      </c>
      <c r="G51" s="5">
        <f>'Baseline calculator'!$B$32</f>
        <v>7</v>
      </c>
      <c r="H51" s="4" t="s">
        <v>12</v>
      </c>
      <c r="I51" s="4" t="s">
        <v>531</v>
      </c>
      <c r="J51" s="4" t="s">
        <v>532</v>
      </c>
      <c r="K51" s="4" t="s">
        <v>533</v>
      </c>
      <c r="L51" s="4" t="s">
        <v>534</v>
      </c>
      <c r="M51" s="4" t="s">
        <v>535</v>
      </c>
      <c r="N51" s="4" t="s">
        <v>268</v>
      </c>
    </row>
    <row r="52" spans="1:14" ht="40.5">
      <c r="A52" s="4" t="s">
        <v>525</v>
      </c>
      <c r="B52" s="4" t="s">
        <v>175</v>
      </c>
      <c r="C52" s="4" t="s">
        <v>105</v>
      </c>
      <c r="D52" s="4" t="s">
        <v>395</v>
      </c>
      <c r="E52" s="4" t="s">
        <v>536</v>
      </c>
      <c r="F52" s="4" t="s">
        <v>537</v>
      </c>
      <c r="G52" s="5">
        <f>'Baseline calculator'!$B$61</f>
        <v>0.4</v>
      </c>
      <c r="H52" s="4" t="s">
        <v>53</v>
      </c>
      <c r="I52" s="4" t="s">
        <v>404</v>
      </c>
      <c r="J52" s="4" t="s">
        <v>176</v>
      </c>
      <c r="K52" s="4" t="s">
        <v>538</v>
      </c>
      <c r="L52" s="4" t="s">
        <v>539</v>
      </c>
      <c r="M52" s="4" t="s">
        <v>400</v>
      </c>
      <c r="N52" s="4" t="s">
        <v>335</v>
      </c>
    </row>
    <row r="53" spans="1:14" ht="27">
      <c r="A53" s="4" t="s">
        <v>525</v>
      </c>
      <c r="B53" s="4" t="s">
        <v>178</v>
      </c>
      <c r="C53" s="4" t="s">
        <v>105</v>
      </c>
      <c r="D53" s="4" t="s">
        <v>395</v>
      </c>
      <c r="E53" s="4" t="s">
        <v>540</v>
      </c>
      <c r="F53" s="4" t="s">
        <v>541</v>
      </c>
      <c r="G53" s="5">
        <f>'Baseline calculator'!$B$62</f>
        <v>0</v>
      </c>
      <c r="H53" s="4" t="s">
        <v>53</v>
      </c>
      <c r="I53" s="4" t="s">
        <v>404</v>
      </c>
      <c r="J53" s="4" t="s">
        <v>179</v>
      </c>
      <c r="K53" s="4" t="s">
        <v>542</v>
      </c>
      <c r="L53" s="4" t="s">
        <v>543</v>
      </c>
      <c r="M53" s="4" t="s">
        <v>400</v>
      </c>
      <c r="N53" s="4" t="s">
        <v>335</v>
      </c>
    </row>
    <row r="54" spans="1:14" ht="40.5">
      <c r="A54" s="4" t="s">
        <v>525</v>
      </c>
      <c r="B54" s="4" t="s">
        <v>181</v>
      </c>
      <c r="C54" s="4" t="s">
        <v>105</v>
      </c>
      <c r="D54" s="4" t="s">
        <v>395</v>
      </c>
      <c r="E54" s="4" t="s">
        <v>544</v>
      </c>
      <c r="F54" s="4" t="s">
        <v>545</v>
      </c>
      <c r="G54" s="5">
        <f>'Baseline calculator'!$B$63</f>
        <v>0.65</v>
      </c>
      <c r="H54" s="4" t="s">
        <v>53</v>
      </c>
      <c r="I54" s="4" t="s">
        <v>404</v>
      </c>
      <c r="J54" s="4" t="s">
        <v>182</v>
      </c>
      <c r="K54" s="4" t="s">
        <v>546</v>
      </c>
      <c r="L54" s="4" t="s">
        <v>547</v>
      </c>
      <c r="M54" s="4" t="s">
        <v>548</v>
      </c>
      <c r="N54" s="4" t="s">
        <v>335</v>
      </c>
    </row>
    <row r="55" spans="1:14" ht="40.5">
      <c r="A55" s="4" t="s">
        <v>525</v>
      </c>
      <c r="B55" s="4" t="s">
        <v>184</v>
      </c>
      <c r="C55" s="4" t="s">
        <v>105</v>
      </c>
      <c r="D55" s="4" t="s">
        <v>395</v>
      </c>
      <c r="E55" s="4" t="s">
        <v>549</v>
      </c>
      <c r="F55" s="4" t="s">
        <v>550</v>
      </c>
      <c r="G55" s="5">
        <f>'Baseline calculator'!$B$64</f>
        <v>0.23333333333333331</v>
      </c>
      <c r="H55" s="4" t="s">
        <v>53</v>
      </c>
      <c r="I55" s="4" t="s">
        <v>404</v>
      </c>
      <c r="J55" s="4" t="s">
        <v>182</v>
      </c>
      <c r="K55" s="4" t="s">
        <v>551</v>
      </c>
      <c r="L55" s="4" t="s">
        <v>552</v>
      </c>
      <c r="M55" s="4" t="s">
        <v>548</v>
      </c>
      <c r="N55" s="4" t="s">
        <v>335</v>
      </c>
    </row>
    <row r="56" spans="1:14" ht="27">
      <c r="A56" s="4" t="s">
        <v>525</v>
      </c>
      <c r="B56" s="4" t="s">
        <v>186</v>
      </c>
      <c r="C56" s="4" t="s">
        <v>105</v>
      </c>
      <c r="D56" s="4" t="s">
        <v>395</v>
      </c>
      <c r="E56" s="4" t="s">
        <v>553</v>
      </c>
      <c r="F56" s="4" t="s">
        <v>554</v>
      </c>
      <c r="G56" s="5">
        <f>'Baseline calculator'!$B$65</f>
        <v>0.13333333333333333</v>
      </c>
      <c r="H56" s="4" t="s">
        <v>53</v>
      </c>
      <c r="I56" s="4" t="s">
        <v>555</v>
      </c>
      <c r="J56" s="4" t="s">
        <v>187</v>
      </c>
      <c r="K56" s="4" t="s">
        <v>556</v>
      </c>
      <c r="L56" s="4" t="s">
        <v>557</v>
      </c>
      <c r="M56" s="4" t="s">
        <v>287</v>
      </c>
      <c r="N56" s="4" t="s">
        <v>335</v>
      </c>
    </row>
    <row r="57" spans="1:14" ht="81">
      <c r="A57" s="4" t="s">
        <v>558</v>
      </c>
      <c r="B57" s="4" t="s">
        <v>97</v>
      </c>
      <c r="C57" s="4" t="s">
        <v>8</v>
      </c>
      <c r="D57" s="4" t="s">
        <v>314</v>
      </c>
      <c r="E57" s="4" t="s">
        <v>559</v>
      </c>
      <c r="F57" s="4" t="s">
        <v>560</v>
      </c>
      <c r="G57" s="5">
        <f>'Baseline calculator'!$B$34</f>
        <v>1E-3</v>
      </c>
      <c r="H57" s="4" t="s">
        <v>561</v>
      </c>
      <c r="I57" s="4" t="s">
        <v>562</v>
      </c>
      <c r="J57" s="4" t="s">
        <v>563</v>
      </c>
      <c r="K57" s="4" t="s">
        <v>564</v>
      </c>
      <c r="L57" s="4" t="s">
        <v>565</v>
      </c>
      <c r="M57" s="4" t="s">
        <v>281</v>
      </c>
      <c r="N57" s="4" t="s">
        <v>288</v>
      </c>
    </row>
    <row r="58" spans="1:14" ht="67.5">
      <c r="A58" s="4" t="s">
        <v>558</v>
      </c>
      <c r="B58" s="4" t="s">
        <v>100</v>
      </c>
      <c r="C58" s="4" t="s">
        <v>54</v>
      </c>
      <c r="D58" s="4" t="s">
        <v>314</v>
      </c>
      <c r="E58" s="4" t="s">
        <v>566</v>
      </c>
      <c r="F58" s="4" t="s">
        <v>431</v>
      </c>
      <c r="G58" s="5">
        <f>'Baseline calculator'!$B$35</f>
        <v>25</v>
      </c>
      <c r="H58" s="4" t="s">
        <v>70</v>
      </c>
      <c r="I58" s="4" t="s">
        <v>567</v>
      </c>
      <c r="J58" s="4" t="s">
        <v>568</v>
      </c>
      <c r="K58" s="4" t="s">
        <v>569</v>
      </c>
      <c r="L58" s="4" t="s">
        <v>570</v>
      </c>
      <c r="M58" s="4" t="s">
        <v>327</v>
      </c>
      <c r="N58" s="4" t="s">
        <v>571</v>
      </c>
    </row>
    <row r="59" spans="1:14" ht="67.5">
      <c r="A59" s="4" t="s">
        <v>558</v>
      </c>
      <c r="B59" s="4" t="s">
        <v>102</v>
      </c>
      <c r="C59" s="4" t="s">
        <v>54</v>
      </c>
      <c r="D59" s="4" t="s">
        <v>314</v>
      </c>
      <c r="E59" s="4" t="s">
        <v>572</v>
      </c>
      <c r="F59" s="4" t="s">
        <v>573</v>
      </c>
      <c r="G59" s="5">
        <f>'Baseline calculator'!$B$36</f>
        <v>25</v>
      </c>
      <c r="H59" s="4" t="s">
        <v>70</v>
      </c>
      <c r="I59" s="4" t="s">
        <v>567</v>
      </c>
      <c r="J59" s="4" t="s">
        <v>568</v>
      </c>
      <c r="K59" s="4" t="s">
        <v>574</v>
      </c>
      <c r="L59" s="4" t="s">
        <v>575</v>
      </c>
      <c r="M59" s="4" t="s">
        <v>327</v>
      </c>
      <c r="N59" s="4" t="s">
        <v>571</v>
      </c>
    </row>
    <row r="60" spans="1:14" ht="27">
      <c r="A60" s="4" t="s">
        <v>558</v>
      </c>
      <c r="B60" s="4" t="s">
        <v>160</v>
      </c>
      <c r="C60" s="4" t="s">
        <v>105</v>
      </c>
      <c r="D60" s="4" t="s">
        <v>395</v>
      </c>
      <c r="E60" s="4" t="s">
        <v>576</v>
      </c>
      <c r="F60" s="4" t="s">
        <v>577</v>
      </c>
      <c r="G60" s="5">
        <f>'Baseline calculator'!$B$55</f>
        <v>1.4292861908336206E-4</v>
      </c>
      <c r="H60" s="4" t="s">
        <v>53</v>
      </c>
      <c r="I60" s="4" t="s">
        <v>578</v>
      </c>
      <c r="J60" s="4" t="s">
        <v>161</v>
      </c>
      <c r="K60" s="4" t="s">
        <v>579</v>
      </c>
      <c r="L60" s="4" t="s">
        <v>580</v>
      </c>
      <c r="M60" s="4" t="s">
        <v>400</v>
      </c>
      <c r="N60" s="4" t="s">
        <v>335</v>
      </c>
    </row>
    <row r="61" spans="1:14" ht="27">
      <c r="A61" s="4" t="s">
        <v>558</v>
      </c>
      <c r="B61" s="4" t="s">
        <v>163</v>
      </c>
      <c r="C61" s="4" t="s">
        <v>105</v>
      </c>
      <c r="D61" s="4" t="s">
        <v>395</v>
      </c>
      <c r="E61" s="4" t="s">
        <v>581</v>
      </c>
      <c r="F61" s="4" t="s">
        <v>582</v>
      </c>
      <c r="G61" s="5">
        <f>'Baseline calculator'!$B$56</f>
        <v>1.4292861908336206E-4</v>
      </c>
      <c r="H61" s="4" t="s">
        <v>53</v>
      </c>
      <c r="I61" s="4" t="s">
        <v>582</v>
      </c>
      <c r="J61" s="4" t="s">
        <v>160</v>
      </c>
      <c r="K61" s="4" t="s">
        <v>583</v>
      </c>
      <c r="L61" s="4" t="s">
        <v>584</v>
      </c>
      <c r="M61" s="4" t="s">
        <v>400</v>
      </c>
      <c r="N61" s="4" t="s">
        <v>401</v>
      </c>
    </row>
    <row r="62" spans="1:14" ht="67.5">
      <c r="A62" s="4" t="s">
        <v>558</v>
      </c>
      <c r="B62" s="4" t="s">
        <v>165</v>
      </c>
      <c r="C62" s="4" t="s">
        <v>105</v>
      </c>
      <c r="D62" s="4" t="s">
        <v>395</v>
      </c>
      <c r="E62" s="4" t="s">
        <v>585</v>
      </c>
      <c r="F62" s="4" t="s">
        <v>586</v>
      </c>
      <c r="G62" s="5">
        <f>'Baseline calculator'!$B$57</f>
        <v>3.5732154770840513E-3</v>
      </c>
      <c r="H62" s="4" t="s">
        <v>53</v>
      </c>
      <c r="I62" s="4" t="s">
        <v>587</v>
      </c>
      <c r="J62" s="4" t="s">
        <v>166</v>
      </c>
      <c r="K62" s="4" t="s">
        <v>569</v>
      </c>
      <c r="L62" s="4" t="s">
        <v>588</v>
      </c>
      <c r="M62" s="4" t="s">
        <v>327</v>
      </c>
      <c r="N62" s="4" t="s">
        <v>589</v>
      </c>
    </row>
    <row r="63" spans="1:14" ht="27">
      <c r="A63" s="4" t="s">
        <v>558</v>
      </c>
      <c r="B63" s="4" t="s">
        <v>168</v>
      </c>
      <c r="C63" s="4" t="s">
        <v>105</v>
      </c>
      <c r="D63" s="4" t="s">
        <v>395</v>
      </c>
      <c r="E63" s="4" t="s">
        <v>590</v>
      </c>
      <c r="F63" s="4" t="s">
        <v>591</v>
      </c>
      <c r="G63" s="5">
        <f>'Baseline calculator'!$B$58</f>
        <v>3.5732154770840513E-3</v>
      </c>
      <c r="H63" s="4" t="s">
        <v>53</v>
      </c>
      <c r="I63" s="4" t="s">
        <v>591</v>
      </c>
      <c r="J63" s="4" t="s">
        <v>165</v>
      </c>
      <c r="K63" s="4" t="s">
        <v>592</v>
      </c>
      <c r="L63" s="4" t="s">
        <v>593</v>
      </c>
      <c r="M63" s="4" t="s">
        <v>400</v>
      </c>
      <c r="N63" s="4" t="s">
        <v>401</v>
      </c>
    </row>
    <row r="64" spans="1:14" ht="27">
      <c r="A64" s="4" t="s">
        <v>558</v>
      </c>
      <c r="B64" s="4" t="s">
        <v>170</v>
      </c>
      <c r="C64" s="4" t="s">
        <v>105</v>
      </c>
      <c r="D64" s="4" t="s">
        <v>395</v>
      </c>
      <c r="E64" s="4" t="s">
        <v>594</v>
      </c>
      <c r="F64" s="4" t="s">
        <v>591</v>
      </c>
      <c r="G64" s="5">
        <f>'Baseline calculator'!$B$59</f>
        <v>3.5732154770840513E-3</v>
      </c>
      <c r="H64" s="4" t="s">
        <v>53</v>
      </c>
      <c r="I64" s="4" t="s">
        <v>591</v>
      </c>
      <c r="J64" s="4" t="s">
        <v>165</v>
      </c>
      <c r="K64" s="4" t="s">
        <v>595</v>
      </c>
      <c r="L64" s="4" t="s">
        <v>596</v>
      </c>
      <c r="M64" s="4" t="s">
        <v>400</v>
      </c>
      <c r="N64" s="4" t="s">
        <v>401</v>
      </c>
    </row>
    <row r="65" spans="1:14" ht="67.5">
      <c r="A65" s="4" t="s">
        <v>558</v>
      </c>
      <c r="B65" s="4" t="s">
        <v>172</v>
      </c>
      <c r="C65" s="4" t="s">
        <v>105</v>
      </c>
      <c r="D65" s="4" t="s">
        <v>395</v>
      </c>
      <c r="E65" s="4" t="s">
        <v>597</v>
      </c>
      <c r="F65" s="4" t="s">
        <v>598</v>
      </c>
      <c r="G65" s="5">
        <f>'Baseline calculator'!$B$60</f>
        <v>3.5732154770840513E-3</v>
      </c>
      <c r="H65" s="4" t="s">
        <v>53</v>
      </c>
      <c r="I65" s="4" t="s">
        <v>587</v>
      </c>
      <c r="J65" s="4" t="s">
        <v>173</v>
      </c>
      <c r="K65" s="4" t="s">
        <v>574</v>
      </c>
      <c r="L65" s="4" t="s">
        <v>599</v>
      </c>
      <c r="M65" s="4" t="s">
        <v>327</v>
      </c>
      <c r="N65" s="4" t="s">
        <v>589</v>
      </c>
    </row>
    <row r="66" spans="1:14" ht="67.5">
      <c r="A66" s="4" t="s">
        <v>600</v>
      </c>
      <c r="B66" s="4" t="s">
        <v>104</v>
      </c>
      <c r="C66" s="4" t="s">
        <v>601</v>
      </c>
      <c r="D66" s="4" t="s">
        <v>602</v>
      </c>
      <c r="E66" s="4" t="s">
        <v>603</v>
      </c>
      <c r="F66" s="4" t="s">
        <v>604</v>
      </c>
      <c r="G66" s="5">
        <f>'Baseline calculator'!$B$37</f>
        <v>85.044999999999987</v>
      </c>
      <c r="H66" s="4" t="s">
        <v>27</v>
      </c>
      <c r="I66" s="4" t="s">
        <v>605</v>
      </c>
      <c r="J66" s="4" t="s">
        <v>106</v>
      </c>
      <c r="K66" s="4" t="s">
        <v>606</v>
      </c>
      <c r="L66" s="4" t="s">
        <v>607</v>
      </c>
      <c r="M66" s="4" t="s">
        <v>327</v>
      </c>
      <c r="N66" s="4" t="s">
        <v>252</v>
      </c>
    </row>
    <row r="67" spans="1:14" ht="67.5">
      <c r="A67" s="4" t="s">
        <v>600</v>
      </c>
      <c r="B67" s="4" t="s">
        <v>108</v>
      </c>
      <c r="C67" s="4" t="s">
        <v>601</v>
      </c>
      <c r="D67" s="4" t="s">
        <v>602</v>
      </c>
      <c r="E67" s="4" t="s">
        <v>608</v>
      </c>
      <c r="F67" s="4" t="s">
        <v>604</v>
      </c>
      <c r="G67" s="5">
        <f>'Baseline calculator'!$B$38</f>
        <v>0.23299999999999996</v>
      </c>
      <c r="H67" s="4" t="s">
        <v>109</v>
      </c>
      <c r="I67" s="4" t="s">
        <v>609</v>
      </c>
      <c r="J67" s="4" t="s">
        <v>104</v>
      </c>
      <c r="K67" s="4" t="s">
        <v>610</v>
      </c>
      <c r="L67" s="4" t="s">
        <v>611</v>
      </c>
      <c r="M67" s="4" t="s">
        <v>327</v>
      </c>
      <c r="N67" s="4" t="s">
        <v>252</v>
      </c>
    </row>
    <row r="68" spans="1:14" ht="67.5">
      <c r="A68" s="4" t="s">
        <v>600</v>
      </c>
      <c r="B68" s="4" t="s">
        <v>111</v>
      </c>
      <c r="C68" s="4" t="s">
        <v>601</v>
      </c>
      <c r="D68" s="4" t="s">
        <v>602</v>
      </c>
      <c r="E68" s="4" t="s">
        <v>612</v>
      </c>
      <c r="F68" s="4" t="s">
        <v>604</v>
      </c>
      <c r="G68" s="5">
        <f>'Baseline calculator'!$B$39</f>
        <v>106.28727451977055</v>
      </c>
      <c r="H68" s="4" t="s">
        <v>27</v>
      </c>
      <c r="I68" s="4" t="s">
        <v>613</v>
      </c>
      <c r="J68" s="4" t="s">
        <v>112</v>
      </c>
      <c r="K68" s="4" t="s">
        <v>614</v>
      </c>
      <c r="L68" s="4" t="s">
        <v>615</v>
      </c>
      <c r="M68" s="4" t="s">
        <v>327</v>
      </c>
      <c r="N68" s="4" t="s">
        <v>268</v>
      </c>
    </row>
    <row r="69" spans="1:14" ht="121.5">
      <c r="A69" s="4" t="s">
        <v>616</v>
      </c>
      <c r="B69" s="4" t="s">
        <v>213</v>
      </c>
      <c r="C69" s="4" t="s">
        <v>123</v>
      </c>
      <c r="D69" s="4" t="s">
        <v>617</v>
      </c>
      <c r="E69" s="4" t="s">
        <v>618</v>
      </c>
      <c r="F69" s="4" t="s">
        <v>619</v>
      </c>
      <c r="G69" s="5">
        <f>'Baseline calculator'!$B$73</f>
        <v>1.2418332228241096E-3</v>
      </c>
      <c r="H69" s="4" t="s">
        <v>53</v>
      </c>
      <c r="I69" s="4" t="s">
        <v>620</v>
      </c>
      <c r="J69" s="4" t="s">
        <v>621</v>
      </c>
      <c r="K69" s="4" t="s">
        <v>622</v>
      </c>
      <c r="L69" s="4" t="s">
        <v>623</v>
      </c>
      <c r="M69" s="4" t="s">
        <v>624</v>
      </c>
      <c r="N69" s="4" t="s">
        <v>625</v>
      </c>
    </row>
    <row r="70" spans="1:14" ht="81">
      <c r="A70" s="4" t="s">
        <v>616</v>
      </c>
      <c r="B70" s="4" t="s">
        <v>216</v>
      </c>
      <c r="C70" s="4" t="s">
        <v>123</v>
      </c>
      <c r="D70" s="4" t="s">
        <v>617</v>
      </c>
      <c r="E70" s="4" t="s">
        <v>626</v>
      </c>
      <c r="F70" s="4" t="s">
        <v>619</v>
      </c>
      <c r="G70" s="5">
        <f>'Baseline calculator'!$B$74</f>
        <v>1.1293736564265406</v>
      </c>
      <c r="H70" s="4" t="s">
        <v>122</v>
      </c>
      <c r="I70" s="4" t="s">
        <v>627</v>
      </c>
      <c r="J70" s="4" t="s">
        <v>217</v>
      </c>
      <c r="K70" s="4" t="s">
        <v>628</v>
      </c>
      <c r="L70" s="4" t="s">
        <v>629</v>
      </c>
      <c r="M70" s="4" t="s">
        <v>630</v>
      </c>
      <c r="N70" s="4" t="s">
        <v>625</v>
      </c>
    </row>
    <row r="71" spans="1:14" ht="81">
      <c r="A71" s="4" t="s">
        <v>616</v>
      </c>
      <c r="B71" s="4" t="s">
        <v>219</v>
      </c>
      <c r="C71" s="4" t="s">
        <v>123</v>
      </c>
      <c r="D71" s="4" t="s">
        <v>617</v>
      </c>
      <c r="E71" s="4" t="s">
        <v>631</v>
      </c>
      <c r="F71" s="4" t="s">
        <v>619</v>
      </c>
      <c r="G71" s="5">
        <f>'Baseline calculator'!$B$75</f>
        <v>0.25780363333333334</v>
      </c>
      <c r="H71" s="4" t="s">
        <v>122</v>
      </c>
      <c r="I71" s="4" t="s">
        <v>632</v>
      </c>
      <c r="J71" s="4" t="s">
        <v>220</v>
      </c>
      <c r="K71" s="4" t="s">
        <v>633</v>
      </c>
      <c r="L71" s="4" t="s">
        <v>634</v>
      </c>
      <c r="M71" s="4" t="s">
        <v>630</v>
      </c>
      <c r="N71" s="4" t="s">
        <v>625</v>
      </c>
    </row>
  </sheetData>
  <conditionalFormatting sqref="C2:C71">
    <cfRule type="expression" dxfId="1" priority="1">
      <formula>ISNUMBER(SEARCH("Calculated",C2))</formula>
    </cfRule>
    <cfRule type="expression" dxfId="0" priority="2">
      <formula>ISNUMBER(SEARCH("Input",C2))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5"/>
  <cols>
    <col min="1" max="1" width="32" customWidth="1"/>
    <col min="2" max="2" width="100" customWidth="1"/>
  </cols>
  <sheetData>
    <row r="1" spans="1:2" ht="13.9">
      <c r="A1" s="1" t="s">
        <v>635</v>
      </c>
      <c r="B1" s="1" t="s">
        <v>636</v>
      </c>
    </row>
    <row r="2" spans="1:2">
      <c r="A2" s="3" t="s">
        <v>637</v>
      </c>
      <c r="B2" s="3" t="s">
        <v>638</v>
      </c>
    </row>
    <row r="3" spans="1:2">
      <c r="A3" s="3" t="s">
        <v>639</v>
      </c>
      <c r="B3" s="3" t="s">
        <v>640</v>
      </c>
    </row>
    <row r="4" spans="1:2">
      <c r="A4" s="3" t="s">
        <v>641</v>
      </c>
      <c r="B4" s="3" t="s">
        <v>642</v>
      </c>
    </row>
    <row r="5" spans="1:2">
      <c r="A5" s="3" t="s">
        <v>643</v>
      </c>
      <c r="B5" s="3" t="s">
        <v>644</v>
      </c>
    </row>
    <row r="6" spans="1:2" ht="27">
      <c r="A6" s="3" t="s">
        <v>645</v>
      </c>
      <c r="B6" s="3" t="s">
        <v>646</v>
      </c>
    </row>
    <row r="7" spans="1:2">
      <c r="A7" s="3" t="s">
        <v>647</v>
      </c>
      <c r="B7" s="3" t="s">
        <v>648</v>
      </c>
    </row>
    <row r="8" spans="1:2">
      <c r="A8" s="3" t="s">
        <v>649</v>
      </c>
      <c r="B8" s="3" t="s">
        <v>650</v>
      </c>
    </row>
    <row r="9" spans="1:2">
      <c r="A9" s="3" t="s">
        <v>651</v>
      </c>
      <c r="B9" s="3" t="s">
        <v>652</v>
      </c>
    </row>
    <row r="10" spans="1:2" ht="27">
      <c r="A10" s="3" t="s">
        <v>653</v>
      </c>
      <c r="B10" s="3" t="s">
        <v>654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tabSelected="1" workbookViewId="0">
      <selection activeCell="B26" sqref="B26"/>
    </sheetView>
  </sheetViews>
  <sheetFormatPr defaultRowHeight="13.5"/>
  <cols>
    <col min="1" max="1" width="58" customWidth="1"/>
    <col min="2" max="2" width="120" customWidth="1"/>
  </cols>
  <sheetData>
    <row r="1" spans="1:2" ht="13.9">
      <c r="A1" s="1" t="s">
        <v>655</v>
      </c>
      <c r="B1" s="1" t="s">
        <v>656</v>
      </c>
    </row>
    <row r="2" spans="1:2" ht="27">
      <c r="A2" s="3" t="s">
        <v>657</v>
      </c>
      <c r="B2" s="3" t="s">
        <v>327</v>
      </c>
    </row>
    <row r="3" spans="1:2">
      <c r="A3" s="3" t="s">
        <v>658</v>
      </c>
      <c r="B3" s="3" t="s">
        <v>659</v>
      </c>
    </row>
    <row r="4" spans="1:2">
      <c r="A4" s="3" t="s">
        <v>660</v>
      </c>
      <c r="B4" s="3" t="s">
        <v>661</v>
      </c>
    </row>
    <row r="5" spans="1:2">
      <c r="A5" s="3" t="s">
        <v>662</v>
      </c>
      <c r="B5" s="3" t="s">
        <v>663</v>
      </c>
    </row>
    <row r="6" spans="1:2">
      <c r="A6" s="3" t="s">
        <v>664</v>
      </c>
      <c r="B6" s="7" t="s">
        <v>665</v>
      </c>
    </row>
    <row r="7" spans="1:2">
      <c r="A7" s="3" t="s">
        <v>666</v>
      </c>
      <c r="B7" s="3" t="s">
        <v>667</v>
      </c>
    </row>
    <row r="8" spans="1:2">
      <c r="A8" s="3" t="s">
        <v>668</v>
      </c>
      <c r="B8" s="3" t="s">
        <v>274</v>
      </c>
    </row>
    <row r="9" spans="1:2" ht="27">
      <c r="A9" s="3" t="s">
        <v>669</v>
      </c>
      <c r="B9" s="3" t="s">
        <v>670</v>
      </c>
    </row>
    <row r="10" spans="1:2">
      <c r="A10" s="3" t="s">
        <v>671</v>
      </c>
      <c r="B10" s="3" t="s">
        <v>429</v>
      </c>
    </row>
    <row r="11" spans="1:2">
      <c r="A11" s="3" t="s">
        <v>672</v>
      </c>
      <c r="B11" s="3" t="s">
        <v>362</v>
      </c>
    </row>
    <row r="12" spans="1:2">
      <c r="A12" s="3" t="s">
        <v>673</v>
      </c>
      <c r="B12" s="3" t="s">
        <v>535</v>
      </c>
    </row>
    <row r="13" spans="1:2">
      <c r="A13" s="3" t="s">
        <v>674</v>
      </c>
      <c r="B13" s="3" t="s">
        <v>675</v>
      </c>
    </row>
    <row r="14" spans="1:2">
      <c r="A14" s="3" t="s">
        <v>676</v>
      </c>
      <c r="B14" s="3" t="s">
        <v>493</v>
      </c>
    </row>
    <row r="15" spans="1:2">
      <c r="A15" s="3" t="s">
        <v>677</v>
      </c>
      <c r="B15" s="3" t="s">
        <v>678</v>
      </c>
    </row>
    <row r="16" spans="1:2" ht="40.5">
      <c r="A16" s="3" t="s">
        <v>679</v>
      </c>
      <c r="B16" s="3" t="s">
        <v>680</v>
      </c>
    </row>
    <row r="17" spans="1:2">
      <c r="A17" s="3" t="s">
        <v>681</v>
      </c>
      <c r="B17" s="3" t="s">
        <v>682</v>
      </c>
    </row>
    <row r="18" spans="1:2">
      <c r="A18" s="3" t="s">
        <v>683</v>
      </c>
      <c r="B18" s="3" t="s">
        <v>400</v>
      </c>
    </row>
    <row r="19" spans="1:2">
      <c r="A19" s="3" t="s">
        <v>684</v>
      </c>
      <c r="B19" s="3" t="s">
        <v>685</v>
      </c>
    </row>
    <row r="20" spans="1:2">
      <c r="A20" s="3" t="s">
        <v>686</v>
      </c>
      <c r="B20" s="3" t="s">
        <v>304</v>
      </c>
    </row>
    <row r="21" spans="1:2">
      <c r="A21" s="3" t="s">
        <v>687</v>
      </c>
      <c r="B21" s="3" t="s">
        <v>688</v>
      </c>
    </row>
    <row r="24" spans="1:2">
      <c r="A24" t="s">
        <v>690</v>
      </c>
      <c r="B24" t="s">
        <v>689</v>
      </c>
    </row>
    <row r="25" spans="1:2">
      <c r="A25" t="s">
        <v>691</v>
      </c>
      <c r="B25" t="s">
        <v>692</v>
      </c>
    </row>
    <row r="26" spans="1:2">
      <c r="A26" t="s">
        <v>693</v>
      </c>
      <c r="B26" t="s">
        <v>694</v>
      </c>
    </row>
  </sheetData>
  <hyperlinks>
    <hyperlink ref="B6" r:id="rId1" xr:uid="{0AF4B5C9-C629-464F-938B-BA3AF41C836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calculator</vt:lpstr>
      <vt:lpstr>Parameter table</vt:lpstr>
      <vt:lpstr>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Fellowes</cp:lastModifiedBy>
  <dcterms:created xsi:type="dcterms:W3CDTF">2026-05-07T15:51:03Z</dcterms:created>
  <dcterms:modified xsi:type="dcterms:W3CDTF">2026-05-20T22:01:56Z</dcterms:modified>
</cp:coreProperties>
</file>